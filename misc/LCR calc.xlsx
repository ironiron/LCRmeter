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kty\reszta\LCRmeter\misc\"/>
    </mc:Choice>
  </mc:AlternateContent>
  <xr:revisionPtr revIDLastSave="0" documentId="13_ncr:1_{339D7253-55EC-4E67-A733-C9E5C7DA3679}" xr6:coauthVersionLast="45" xr6:coauthVersionMax="45" xr10:uidLastSave="{00000000-0000-0000-0000-000000000000}"/>
  <bookViews>
    <workbookView xWindow="12720" yWindow="2325" windowWidth="51180" windowHeight="28170" xr2:uid="{E87E0838-13C8-43A6-B33A-F14C82948CED}"/>
  </bookViews>
  <sheets>
    <sheet name="sinewave" sheetId="1" r:id="rId1"/>
    <sheet name="rang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259" i="1" l="1"/>
  <c r="I259" i="1" s="1"/>
  <c r="H260" i="1" l="1"/>
  <c r="E44" i="1"/>
  <c r="F42" i="1" s="1"/>
  <c r="G43" i="1" s="1"/>
  <c r="E31" i="2"/>
  <c r="E8" i="2"/>
  <c r="H261" i="1" l="1"/>
  <c r="I260" i="1"/>
  <c r="C48" i="2"/>
  <c r="C41" i="2"/>
  <c r="C42" i="2" s="1"/>
  <c r="C43" i="2" s="1"/>
  <c r="C44" i="2" s="1"/>
  <c r="C45" i="2" s="1"/>
  <c r="C46" i="2" s="1"/>
  <c r="C47" i="2" s="1"/>
  <c r="C40" i="2"/>
  <c r="D31" i="2"/>
  <c r="D32" i="2"/>
  <c r="E32" i="2"/>
  <c r="F32" i="2"/>
  <c r="G32" i="2"/>
  <c r="H32" i="2"/>
  <c r="I32" i="2"/>
  <c r="J32" i="2"/>
  <c r="D33" i="2"/>
  <c r="E33" i="2"/>
  <c r="F33" i="2"/>
  <c r="G33" i="2"/>
  <c r="H33" i="2"/>
  <c r="I33" i="2"/>
  <c r="J33" i="2"/>
  <c r="D34" i="2"/>
  <c r="E34" i="2"/>
  <c r="F34" i="2"/>
  <c r="G34" i="2"/>
  <c r="H34" i="2"/>
  <c r="I34" i="2"/>
  <c r="J34" i="2"/>
  <c r="D35" i="2"/>
  <c r="E35" i="2"/>
  <c r="F35" i="2"/>
  <c r="G35" i="2"/>
  <c r="H35" i="2"/>
  <c r="I35" i="2"/>
  <c r="J35" i="2"/>
  <c r="D36" i="2"/>
  <c r="E36" i="2"/>
  <c r="F36" i="2"/>
  <c r="G36" i="2"/>
  <c r="H36" i="2"/>
  <c r="I36" i="2"/>
  <c r="J36" i="2"/>
  <c r="F31" i="2"/>
  <c r="G31" i="2"/>
  <c r="H31" i="2"/>
  <c r="I31" i="2"/>
  <c r="J31" i="2"/>
  <c r="I261" i="1" l="1"/>
  <c r="H262" i="1"/>
  <c r="D16" i="2"/>
  <c r="D24" i="2" s="1"/>
  <c r="E16" i="2"/>
  <c r="E24" i="2" s="1"/>
  <c r="F16" i="2"/>
  <c r="F24" i="2" s="1"/>
  <c r="G16" i="2"/>
  <c r="G24" i="2" s="1"/>
  <c r="H16" i="2"/>
  <c r="H24" i="2" s="1"/>
  <c r="I16" i="2"/>
  <c r="I24" i="2" s="1"/>
  <c r="J16" i="2"/>
  <c r="J24" i="2" s="1"/>
  <c r="D17" i="2"/>
  <c r="D25" i="2" s="1"/>
  <c r="E17" i="2"/>
  <c r="E25" i="2" s="1"/>
  <c r="F17" i="2"/>
  <c r="F25" i="2" s="1"/>
  <c r="G17" i="2"/>
  <c r="G25" i="2" s="1"/>
  <c r="H17" i="2"/>
  <c r="H25" i="2" s="1"/>
  <c r="I17" i="2"/>
  <c r="I25" i="2" s="1"/>
  <c r="J17" i="2"/>
  <c r="J25" i="2" s="1"/>
  <c r="D18" i="2"/>
  <c r="D26" i="2" s="1"/>
  <c r="E18" i="2"/>
  <c r="E26" i="2" s="1"/>
  <c r="F18" i="2"/>
  <c r="F26" i="2" s="1"/>
  <c r="G18" i="2"/>
  <c r="G26" i="2" s="1"/>
  <c r="H18" i="2"/>
  <c r="H26" i="2" s="1"/>
  <c r="I18" i="2"/>
  <c r="I26" i="2" s="1"/>
  <c r="J18" i="2"/>
  <c r="J26" i="2" s="1"/>
  <c r="D19" i="2"/>
  <c r="D27" i="2" s="1"/>
  <c r="E19" i="2"/>
  <c r="E27" i="2" s="1"/>
  <c r="F19" i="2"/>
  <c r="F27" i="2" s="1"/>
  <c r="G19" i="2"/>
  <c r="G27" i="2" s="1"/>
  <c r="H19" i="2"/>
  <c r="H27" i="2" s="1"/>
  <c r="I19" i="2"/>
  <c r="I27" i="2" s="1"/>
  <c r="J19" i="2"/>
  <c r="J27" i="2" s="1"/>
  <c r="D20" i="2"/>
  <c r="D28" i="2" s="1"/>
  <c r="E20" i="2"/>
  <c r="E28" i="2" s="1"/>
  <c r="F20" i="2"/>
  <c r="F28" i="2" s="1"/>
  <c r="G20" i="2"/>
  <c r="G28" i="2" s="1"/>
  <c r="H20" i="2"/>
  <c r="H28" i="2" s="1"/>
  <c r="I20" i="2"/>
  <c r="I28" i="2" s="1"/>
  <c r="J20" i="2"/>
  <c r="J28" i="2" s="1"/>
  <c r="E15" i="2"/>
  <c r="E23" i="2" s="1"/>
  <c r="F15" i="2"/>
  <c r="F23" i="2" s="1"/>
  <c r="G15" i="2"/>
  <c r="G23" i="2" s="1"/>
  <c r="H15" i="2"/>
  <c r="H23" i="2" s="1"/>
  <c r="I15" i="2"/>
  <c r="I23" i="2" s="1"/>
  <c r="J15" i="2"/>
  <c r="J23" i="2" s="1"/>
  <c r="D15" i="2"/>
  <c r="D23" i="2" s="1"/>
  <c r="H10" i="2"/>
  <c r="D8" i="2"/>
  <c r="F8" i="2"/>
  <c r="G8" i="2"/>
  <c r="H8" i="2"/>
  <c r="I8" i="2"/>
  <c r="J8" i="2"/>
  <c r="D9" i="2"/>
  <c r="E9" i="2"/>
  <c r="F9" i="2"/>
  <c r="G9" i="2"/>
  <c r="H9" i="2"/>
  <c r="I9" i="2"/>
  <c r="J9" i="2"/>
  <c r="D10" i="2"/>
  <c r="E10" i="2"/>
  <c r="F10" i="2"/>
  <c r="G10" i="2"/>
  <c r="I10" i="2"/>
  <c r="J10" i="2"/>
  <c r="D11" i="2"/>
  <c r="E11" i="2"/>
  <c r="F11" i="2"/>
  <c r="G11" i="2"/>
  <c r="H11" i="2"/>
  <c r="I11" i="2"/>
  <c r="J11" i="2"/>
  <c r="D12" i="2"/>
  <c r="E12" i="2"/>
  <c r="F12" i="2"/>
  <c r="G12" i="2"/>
  <c r="H12" i="2"/>
  <c r="I12" i="2"/>
  <c r="J12" i="2"/>
  <c r="E7" i="2"/>
  <c r="F7" i="2"/>
  <c r="G7" i="2"/>
  <c r="H7" i="2"/>
  <c r="I7" i="2"/>
  <c r="J7" i="2"/>
  <c r="D7" i="2"/>
  <c r="G21" i="1"/>
  <c r="E21" i="1"/>
  <c r="E12" i="1"/>
  <c r="G12" i="1" s="1"/>
  <c r="E17" i="1"/>
  <c r="G17" i="1" s="1"/>
  <c r="H263" i="1" l="1"/>
  <c r="I262" i="1"/>
  <c r="D39" i="1"/>
  <c r="E39" i="1" s="1"/>
  <c r="F39" i="1"/>
  <c r="G39" i="1" s="1"/>
  <c r="F34" i="1"/>
  <c r="G34" i="1" s="1"/>
  <c r="D34" i="1"/>
  <c r="E34" i="1" s="1"/>
  <c r="B24" i="1"/>
  <c r="B26" i="1" s="1"/>
  <c r="I263" i="1" l="1"/>
  <c r="H264" i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H265" i="1" l="1"/>
  <c r="I264" i="1"/>
  <c r="E13" i="1"/>
  <c r="G13" i="1" s="1"/>
  <c r="E14" i="1"/>
  <c r="G14" i="1" s="1"/>
  <c r="E15" i="1"/>
  <c r="G15" i="1" s="1"/>
  <c r="E16" i="1"/>
  <c r="G16" i="1" s="1"/>
  <c r="E18" i="1"/>
  <c r="G18" i="1" s="1"/>
  <c r="E11" i="1"/>
  <c r="G11" i="1" s="1"/>
  <c r="I265" i="1" l="1"/>
  <c r="H266" i="1"/>
  <c r="D37" i="1"/>
  <c r="E37" i="1" s="1"/>
  <c r="F37" i="1"/>
  <c r="G37" i="1" s="1"/>
  <c r="D38" i="1"/>
  <c r="E38" i="1" s="1"/>
  <c r="F38" i="1"/>
  <c r="G38" i="1" s="1"/>
  <c r="D33" i="1"/>
  <c r="E33" i="1" s="1"/>
  <c r="F33" i="1"/>
  <c r="G33" i="1" s="1"/>
  <c r="F36" i="1"/>
  <c r="G36" i="1" s="1"/>
  <c r="D36" i="1"/>
  <c r="E36" i="1" s="1"/>
  <c r="F40" i="1"/>
  <c r="G40" i="1" s="1"/>
  <c r="D40" i="1"/>
  <c r="E40" i="1" s="1"/>
  <c r="D35" i="1"/>
  <c r="E35" i="1" s="1"/>
  <c r="F35" i="1"/>
  <c r="G35" i="1" s="1"/>
  <c r="I2" i="1"/>
  <c r="H267" i="1" l="1"/>
  <c r="I266" i="1"/>
  <c r="H4" i="1"/>
  <c r="A12" i="1"/>
  <c r="I267" i="1" l="1"/>
  <c r="H268" i="1"/>
  <c r="H5" i="1"/>
  <c r="I5" i="1" s="1"/>
  <c r="I4" i="1"/>
  <c r="B14" i="1"/>
  <c r="B16" i="1" s="1"/>
  <c r="B15" i="1"/>
  <c r="A4" i="1"/>
  <c r="B1" i="1" s="1"/>
  <c r="H269" i="1" l="1"/>
  <c r="I268" i="1"/>
  <c r="H6" i="1"/>
  <c r="H7" i="1" s="1"/>
  <c r="B3" i="1"/>
  <c r="C6" i="1" s="1"/>
  <c r="B2" i="1"/>
  <c r="I269" i="1" l="1"/>
  <c r="H270" i="1"/>
  <c r="I7" i="1"/>
  <c r="H8" i="1"/>
  <c r="I8" i="1" s="1"/>
  <c r="I6" i="1"/>
  <c r="H271" i="1" l="1"/>
  <c r="I270" i="1"/>
  <c r="H9" i="1"/>
  <c r="I9" i="1" s="1"/>
  <c r="H10" i="1"/>
  <c r="I10" i="1" s="1"/>
  <c r="I271" i="1" l="1"/>
  <c r="H272" i="1"/>
  <c r="H11" i="1"/>
  <c r="I11" i="1" s="1"/>
  <c r="H273" i="1" l="1"/>
  <c r="I272" i="1"/>
  <c r="H12" i="1"/>
  <c r="I12" i="1" s="1"/>
  <c r="I273" i="1" l="1"/>
  <c r="H274" i="1"/>
  <c r="H13" i="1"/>
  <c r="I13" i="1" s="1"/>
  <c r="H275" i="1" l="1"/>
  <c r="I274" i="1"/>
  <c r="H14" i="1"/>
  <c r="I14" i="1" s="1"/>
  <c r="I275" i="1" l="1"/>
  <c r="H276" i="1"/>
  <c r="H15" i="1"/>
  <c r="I15" i="1" s="1"/>
  <c r="H277" i="1" l="1"/>
  <c r="I276" i="1"/>
  <c r="H16" i="1"/>
  <c r="I16" i="1" s="1"/>
  <c r="I277" i="1" l="1"/>
  <c r="H278" i="1"/>
  <c r="H17" i="1"/>
  <c r="I17" i="1" s="1"/>
  <c r="H279" i="1" l="1"/>
  <c r="I278" i="1"/>
  <c r="H18" i="1"/>
  <c r="I18" i="1" s="1"/>
  <c r="I279" i="1" l="1"/>
  <c r="H280" i="1"/>
  <c r="H19" i="1"/>
  <c r="I19" i="1" s="1"/>
  <c r="H281" i="1" l="1"/>
  <c r="I280" i="1"/>
  <c r="H20" i="1"/>
  <c r="I20" i="1" s="1"/>
  <c r="I281" i="1" l="1"/>
  <c r="H282" i="1"/>
  <c r="H21" i="1"/>
  <c r="I21" i="1" s="1"/>
  <c r="H283" i="1" l="1"/>
  <c r="I282" i="1"/>
  <c r="H22" i="1"/>
  <c r="I22" i="1" s="1"/>
  <c r="I283" i="1" l="1"/>
  <c r="H284" i="1"/>
  <c r="H23" i="1"/>
  <c r="I23" i="1" s="1"/>
  <c r="H285" i="1" l="1"/>
  <c r="I284" i="1"/>
  <c r="H24" i="1"/>
  <c r="I24" i="1" s="1"/>
  <c r="I285" i="1" l="1"/>
  <c r="H286" i="1"/>
  <c r="H25" i="1"/>
  <c r="I25" i="1" s="1"/>
  <c r="H287" i="1" l="1"/>
  <c r="I286" i="1"/>
  <c r="H26" i="1"/>
  <c r="I26" i="1" s="1"/>
  <c r="I287" i="1" l="1"/>
  <c r="H288" i="1"/>
  <c r="H27" i="1"/>
  <c r="I27" i="1" s="1"/>
  <c r="H289" i="1" l="1"/>
  <c r="I288" i="1"/>
  <c r="H28" i="1"/>
  <c r="I28" i="1" s="1"/>
  <c r="I289" i="1" l="1"/>
  <c r="H290" i="1"/>
  <c r="H29" i="1"/>
  <c r="I29" i="1" s="1"/>
  <c r="H291" i="1" l="1"/>
  <c r="I290" i="1"/>
  <c r="H30" i="1"/>
  <c r="I30" i="1" s="1"/>
  <c r="I291" i="1" l="1"/>
  <c r="H292" i="1"/>
  <c r="H31" i="1"/>
  <c r="I31" i="1" s="1"/>
  <c r="H293" i="1" l="1"/>
  <c r="I292" i="1"/>
  <c r="H32" i="1"/>
  <c r="I32" i="1" s="1"/>
  <c r="I293" i="1" l="1"/>
  <c r="H294" i="1"/>
  <c r="H33" i="1"/>
  <c r="I33" i="1" s="1"/>
  <c r="H295" i="1" l="1"/>
  <c r="I294" i="1"/>
  <c r="H34" i="1"/>
  <c r="I34" i="1" s="1"/>
  <c r="I295" i="1" l="1"/>
  <c r="H296" i="1"/>
  <c r="H35" i="1"/>
  <c r="I35" i="1" s="1"/>
  <c r="H297" i="1" l="1"/>
  <c r="I296" i="1"/>
  <c r="H36" i="1"/>
  <c r="I36" i="1" s="1"/>
  <c r="I297" i="1" l="1"/>
  <c r="H298" i="1"/>
  <c r="H37" i="1"/>
  <c r="I37" i="1" s="1"/>
  <c r="H299" i="1" l="1"/>
  <c r="I298" i="1"/>
  <c r="H38" i="1"/>
  <c r="I38" i="1" s="1"/>
  <c r="I299" i="1" l="1"/>
  <c r="H300" i="1"/>
  <c r="H39" i="1"/>
  <c r="I39" i="1" s="1"/>
  <c r="H301" i="1" l="1"/>
  <c r="I300" i="1"/>
  <c r="H40" i="1"/>
  <c r="I40" i="1" s="1"/>
  <c r="I301" i="1" l="1"/>
  <c r="H302" i="1"/>
  <c r="H41" i="1"/>
  <c r="I41" i="1" s="1"/>
  <c r="H303" i="1" l="1"/>
  <c r="I302" i="1"/>
  <c r="H42" i="1"/>
  <c r="I42" i="1" s="1"/>
  <c r="I303" i="1" l="1"/>
  <c r="H304" i="1"/>
  <c r="H43" i="1"/>
  <c r="I43" i="1" s="1"/>
  <c r="H305" i="1" l="1"/>
  <c r="I304" i="1"/>
  <c r="H44" i="1"/>
  <c r="I44" i="1" s="1"/>
  <c r="I305" i="1" l="1"/>
  <c r="H306" i="1"/>
  <c r="H45" i="1"/>
  <c r="I45" i="1" s="1"/>
  <c r="H307" i="1" l="1"/>
  <c r="I306" i="1"/>
  <c r="H46" i="1"/>
  <c r="I46" i="1" s="1"/>
  <c r="I307" i="1" l="1"/>
  <c r="H308" i="1"/>
  <c r="H47" i="1"/>
  <c r="I47" i="1" s="1"/>
  <c r="H309" i="1" l="1"/>
  <c r="I308" i="1"/>
  <c r="H48" i="1"/>
  <c r="I48" i="1" s="1"/>
  <c r="I309" i="1" l="1"/>
  <c r="H310" i="1"/>
  <c r="H49" i="1"/>
  <c r="I49" i="1" s="1"/>
  <c r="H311" i="1" l="1"/>
  <c r="I310" i="1"/>
  <c r="H50" i="1"/>
  <c r="I50" i="1" s="1"/>
  <c r="I311" i="1" l="1"/>
  <c r="H312" i="1"/>
  <c r="H51" i="1"/>
  <c r="I51" i="1" s="1"/>
  <c r="H313" i="1" l="1"/>
  <c r="I312" i="1"/>
  <c r="H52" i="1"/>
  <c r="I52" i="1" s="1"/>
  <c r="I313" i="1" l="1"/>
  <c r="H314" i="1"/>
  <c r="H53" i="1"/>
  <c r="I53" i="1" s="1"/>
  <c r="H315" i="1" l="1"/>
  <c r="I314" i="1"/>
  <c r="H54" i="1"/>
  <c r="I54" i="1" s="1"/>
  <c r="I315" i="1" l="1"/>
  <c r="H316" i="1"/>
  <c r="H55" i="1"/>
  <c r="I55" i="1" s="1"/>
  <c r="H317" i="1" l="1"/>
  <c r="I316" i="1"/>
  <c r="H56" i="1"/>
  <c r="I56" i="1" s="1"/>
  <c r="I317" i="1" l="1"/>
  <c r="H318" i="1"/>
  <c r="H57" i="1"/>
  <c r="I57" i="1" s="1"/>
  <c r="H319" i="1" l="1"/>
  <c r="I318" i="1"/>
  <c r="H58" i="1"/>
  <c r="I58" i="1" s="1"/>
  <c r="I319" i="1" l="1"/>
  <c r="H320" i="1"/>
  <c r="H59" i="1"/>
  <c r="I59" i="1" s="1"/>
  <c r="H321" i="1" l="1"/>
  <c r="I320" i="1"/>
  <c r="H60" i="1"/>
  <c r="I60" i="1" s="1"/>
  <c r="I321" i="1" l="1"/>
  <c r="H322" i="1"/>
  <c r="H61" i="1"/>
  <c r="I61" i="1" s="1"/>
  <c r="H323" i="1" l="1"/>
  <c r="I322" i="1"/>
  <c r="H62" i="1"/>
  <c r="I62" i="1" s="1"/>
  <c r="I323" i="1" l="1"/>
  <c r="H324" i="1"/>
  <c r="H63" i="1"/>
  <c r="I63" i="1" s="1"/>
  <c r="H325" i="1" l="1"/>
  <c r="I324" i="1"/>
  <c r="H64" i="1"/>
  <c r="I64" i="1" s="1"/>
  <c r="I325" i="1" l="1"/>
  <c r="H326" i="1"/>
  <c r="H65" i="1"/>
  <c r="I65" i="1" s="1"/>
  <c r="H327" i="1" l="1"/>
  <c r="I326" i="1"/>
  <c r="H66" i="1"/>
  <c r="I66" i="1" s="1"/>
  <c r="I327" i="1" l="1"/>
  <c r="H328" i="1"/>
  <c r="H67" i="1"/>
  <c r="I67" i="1" s="1"/>
  <c r="H329" i="1" l="1"/>
  <c r="I328" i="1"/>
  <c r="H68" i="1"/>
  <c r="I68" i="1" s="1"/>
  <c r="I329" i="1" l="1"/>
  <c r="H330" i="1"/>
  <c r="H69" i="1"/>
  <c r="I69" i="1" s="1"/>
  <c r="H331" i="1" l="1"/>
  <c r="I330" i="1"/>
  <c r="H70" i="1"/>
  <c r="I70" i="1" s="1"/>
  <c r="I331" i="1" l="1"/>
  <c r="H332" i="1"/>
  <c r="H71" i="1"/>
  <c r="I71" i="1" s="1"/>
  <c r="H333" i="1" l="1"/>
  <c r="I332" i="1"/>
  <c r="H72" i="1"/>
  <c r="I72" i="1" s="1"/>
  <c r="I333" i="1" l="1"/>
  <c r="H334" i="1"/>
  <c r="H73" i="1"/>
  <c r="I73" i="1" s="1"/>
  <c r="H335" i="1" l="1"/>
  <c r="I334" i="1"/>
  <c r="H74" i="1"/>
  <c r="I74" i="1" s="1"/>
  <c r="I335" i="1" l="1"/>
  <c r="H336" i="1"/>
  <c r="H75" i="1"/>
  <c r="I75" i="1" s="1"/>
  <c r="H337" i="1" l="1"/>
  <c r="I336" i="1"/>
  <c r="H76" i="1"/>
  <c r="I76" i="1" s="1"/>
  <c r="I337" i="1" l="1"/>
  <c r="H338" i="1"/>
  <c r="H77" i="1"/>
  <c r="I77" i="1" s="1"/>
  <c r="H339" i="1" l="1"/>
  <c r="I338" i="1"/>
  <c r="H78" i="1"/>
  <c r="I78" i="1" s="1"/>
  <c r="I339" i="1" l="1"/>
  <c r="H340" i="1"/>
  <c r="H79" i="1"/>
  <c r="I79" i="1" s="1"/>
  <c r="H341" i="1" l="1"/>
  <c r="I340" i="1"/>
  <c r="H80" i="1"/>
  <c r="I80" i="1" s="1"/>
  <c r="I341" i="1" l="1"/>
  <c r="H342" i="1"/>
  <c r="H81" i="1"/>
  <c r="I81" i="1" s="1"/>
  <c r="H343" i="1" l="1"/>
  <c r="I342" i="1"/>
  <c r="H82" i="1"/>
  <c r="I82" i="1" s="1"/>
  <c r="I343" i="1" l="1"/>
  <c r="H344" i="1"/>
  <c r="H83" i="1"/>
  <c r="I83" i="1" s="1"/>
  <c r="H345" i="1" l="1"/>
  <c r="I344" i="1"/>
  <c r="H84" i="1"/>
  <c r="I84" i="1" s="1"/>
  <c r="I345" i="1" l="1"/>
  <c r="H346" i="1"/>
  <c r="H85" i="1"/>
  <c r="I85" i="1" s="1"/>
  <c r="H347" i="1" l="1"/>
  <c r="I346" i="1"/>
  <c r="H86" i="1"/>
  <c r="I86" i="1" s="1"/>
  <c r="I347" i="1" l="1"/>
  <c r="H348" i="1"/>
  <c r="H87" i="1"/>
  <c r="I87" i="1" s="1"/>
  <c r="H349" i="1" l="1"/>
  <c r="I348" i="1"/>
  <c r="H88" i="1"/>
  <c r="I88" i="1" s="1"/>
  <c r="I349" i="1" l="1"/>
  <c r="H350" i="1"/>
  <c r="H89" i="1"/>
  <c r="I89" i="1" s="1"/>
  <c r="H351" i="1" l="1"/>
  <c r="I350" i="1"/>
  <c r="H90" i="1"/>
  <c r="I90" i="1" s="1"/>
  <c r="I351" i="1" l="1"/>
  <c r="H352" i="1"/>
  <c r="H91" i="1"/>
  <c r="I91" i="1" s="1"/>
  <c r="H353" i="1" l="1"/>
  <c r="I352" i="1"/>
  <c r="H92" i="1"/>
  <c r="I92" i="1" s="1"/>
  <c r="I353" i="1" l="1"/>
  <c r="H354" i="1"/>
  <c r="H93" i="1"/>
  <c r="I93" i="1" s="1"/>
  <c r="H355" i="1" l="1"/>
  <c r="I354" i="1"/>
  <c r="H94" i="1"/>
  <c r="I94" i="1" s="1"/>
  <c r="I355" i="1" l="1"/>
  <c r="H356" i="1"/>
  <c r="H95" i="1"/>
  <c r="I95" i="1" s="1"/>
  <c r="H357" i="1" l="1"/>
  <c r="I356" i="1"/>
  <c r="H96" i="1"/>
  <c r="I96" i="1" s="1"/>
  <c r="I357" i="1" l="1"/>
  <c r="H358" i="1"/>
  <c r="H97" i="1"/>
  <c r="I97" i="1" s="1"/>
  <c r="H359" i="1" l="1"/>
  <c r="I358" i="1"/>
  <c r="H98" i="1"/>
  <c r="I98" i="1" s="1"/>
  <c r="I359" i="1" l="1"/>
  <c r="H360" i="1"/>
  <c r="H99" i="1"/>
  <c r="I99" i="1" s="1"/>
  <c r="H361" i="1" l="1"/>
  <c r="I360" i="1"/>
  <c r="H100" i="1"/>
  <c r="I100" i="1" s="1"/>
  <c r="I361" i="1" l="1"/>
  <c r="H362" i="1"/>
  <c r="H101" i="1"/>
  <c r="I101" i="1" s="1"/>
  <c r="H363" i="1" l="1"/>
  <c r="I362" i="1"/>
  <c r="H102" i="1"/>
  <c r="I102" i="1" s="1"/>
  <c r="I363" i="1" l="1"/>
  <c r="H364" i="1"/>
  <c r="H103" i="1"/>
  <c r="I103" i="1" s="1"/>
  <c r="H365" i="1" l="1"/>
  <c r="I364" i="1"/>
  <c r="H104" i="1"/>
  <c r="I104" i="1" s="1"/>
  <c r="I365" i="1" l="1"/>
  <c r="H366" i="1"/>
  <c r="H105" i="1"/>
  <c r="I105" i="1" s="1"/>
  <c r="H367" i="1" l="1"/>
  <c r="I366" i="1"/>
  <c r="H106" i="1"/>
  <c r="I106" i="1" s="1"/>
  <c r="I367" i="1" l="1"/>
  <c r="H368" i="1"/>
  <c r="H107" i="1"/>
  <c r="I107" i="1" s="1"/>
  <c r="H369" i="1" l="1"/>
  <c r="I368" i="1"/>
  <c r="H108" i="1"/>
  <c r="I108" i="1" s="1"/>
  <c r="I369" i="1" l="1"/>
  <c r="H370" i="1"/>
  <c r="H109" i="1"/>
  <c r="I109" i="1" s="1"/>
  <c r="H371" i="1" l="1"/>
  <c r="I370" i="1"/>
  <c r="H110" i="1"/>
  <c r="I110" i="1" s="1"/>
  <c r="I371" i="1" l="1"/>
  <c r="H372" i="1"/>
  <c r="H111" i="1"/>
  <c r="I111" i="1" s="1"/>
  <c r="H373" i="1" l="1"/>
  <c r="I372" i="1"/>
  <c r="H112" i="1"/>
  <c r="I112" i="1" s="1"/>
  <c r="I373" i="1" l="1"/>
  <c r="H374" i="1"/>
  <c r="H113" i="1"/>
  <c r="I113" i="1" s="1"/>
  <c r="H375" i="1" l="1"/>
  <c r="I374" i="1"/>
  <c r="H114" i="1"/>
  <c r="I114" i="1" s="1"/>
  <c r="I375" i="1" l="1"/>
  <c r="H376" i="1"/>
  <c r="H115" i="1"/>
  <c r="I115" i="1" s="1"/>
  <c r="H377" i="1" l="1"/>
  <c r="I376" i="1"/>
  <c r="H116" i="1"/>
  <c r="I116" i="1" s="1"/>
  <c r="I377" i="1" l="1"/>
  <c r="H378" i="1"/>
  <c r="H117" i="1"/>
  <c r="I117" i="1" s="1"/>
  <c r="H379" i="1" l="1"/>
  <c r="I378" i="1"/>
  <c r="H118" i="1"/>
  <c r="I118" i="1" s="1"/>
  <c r="I379" i="1" l="1"/>
  <c r="H380" i="1"/>
  <c r="H119" i="1"/>
  <c r="I119" i="1" s="1"/>
  <c r="H381" i="1" l="1"/>
  <c r="I380" i="1"/>
  <c r="H120" i="1"/>
  <c r="I120" i="1" s="1"/>
  <c r="I381" i="1" l="1"/>
  <c r="H382" i="1"/>
  <c r="H121" i="1"/>
  <c r="I121" i="1" s="1"/>
  <c r="H383" i="1" l="1"/>
  <c r="I382" i="1"/>
  <c r="H122" i="1"/>
  <c r="I122" i="1" s="1"/>
  <c r="I383" i="1" l="1"/>
  <c r="H384" i="1"/>
  <c r="H123" i="1"/>
  <c r="I123" i="1" s="1"/>
  <c r="H385" i="1" l="1"/>
  <c r="I384" i="1"/>
  <c r="H124" i="1"/>
  <c r="I124" i="1" s="1"/>
  <c r="I385" i="1" l="1"/>
  <c r="H386" i="1"/>
  <c r="H125" i="1"/>
  <c r="I125" i="1" s="1"/>
  <c r="H387" i="1" l="1"/>
  <c r="I386" i="1"/>
  <c r="H126" i="1"/>
  <c r="I126" i="1" s="1"/>
  <c r="I387" i="1" l="1"/>
  <c r="H388" i="1"/>
  <c r="H127" i="1"/>
  <c r="I127" i="1" s="1"/>
  <c r="H389" i="1" l="1"/>
  <c r="I388" i="1"/>
  <c r="H128" i="1"/>
  <c r="I128" i="1" s="1"/>
  <c r="I389" i="1" l="1"/>
  <c r="H390" i="1"/>
  <c r="H129" i="1"/>
  <c r="I129" i="1" s="1"/>
  <c r="H391" i="1" l="1"/>
  <c r="I390" i="1"/>
  <c r="H130" i="1"/>
  <c r="I130" i="1" s="1"/>
  <c r="I391" i="1" l="1"/>
  <c r="H392" i="1"/>
  <c r="H131" i="1"/>
  <c r="I131" i="1" s="1"/>
  <c r="H393" i="1" l="1"/>
  <c r="I392" i="1"/>
  <c r="H132" i="1"/>
  <c r="I132" i="1" s="1"/>
  <c r="I393" i="1" l="1"/>
  <c r="H394" i="1"/>
  <c r="H133" i="1"/>
  <c r="I133" i="1" s="1"/>
  <c r="H395" i="1" l="1"/>
  <c r="I394" i="1"/>
  <c r="H134" i="1"/>
  <c r="I134" i="1" s="1"/>
  <c r="I395" i="1" l="1"/>
  <c r="H396" i="1"/>
  <c r="H135" i="1"/>
  <c r="I135" i="1" s="1"/>
  <c r="H397" i="1" l="1"/>
  <c r="I396" i="1"/>
  <c r="H136" i="1"/>
  <c r="I136" i="1" s="1"/>
  <c r="I397" i="1" l="1"/>
  <c r="H398" i="1"/>
  <c r="H137" i="1"/>
  <c r="I137" i="1" s="1"/>
  <c r="H399" i="1" l="1"/>
  <c r="I398" i="1"/>
  <c r="H138" i="1"/>
  <c r="I138" i="1" s="1"/>
  <c r="I399" i="1" l="1"/>
  <c r="H400" i="1"/>
  <c r="H139" i="1"/>
  <c r="I139" i="1" s="1"/>
  <c r="H401" i="1" l="1"/>
  <c r="I400" i="1"/>
  <c r="H140" i="1"/>
  <c r="I140" i="1" s="1"/>
  <c r="I401" i="1" l="1"/>
  <c r="H402" i="1"/>
  <c r="H141" i="1"/>
  <c r="I141" i="1" s="1"/>
  <c r="H403" i="1" l="1"/>
  <c r="I402" i="1"/>
  <c r="H142" i="1"/>
  <c r="I142" i="1" s="1"/>
  <c r="I403" i="1" l="1"/>
  <c r="H404" i="1"/>
  <c r="H143" i="1"/>
  <c r="I143" i="1" s="1"/>
  <c r="H405" i="1" l="1"/>
  <c r="I404" i="1"/>
  <c r="H144" i="1"/>
  <c r="I144" i="1" s="1"/>
  <c r="I405" i="1" l="1"/>
  <c r="H406" i="1"/>
  <c r="H145" i="1"/>
  <c r="I145" i="1" s="1"/>
  <c r="H407" i="1" l="1"/>
  <c r="I406" i="1"/>
  <c r="H146" i="1"/>
  <c r="I146" i="1" s="1"/>
  <c r="I407" i="1" l="1"/>
  <c r="H408" i="1"/>
  <c r="H147" i="1"/>
  <c r="I147" i="1" s="1"/>
  <c r="H409" i="1" l="1"/>
  <c r="I408" i="1"/>
  <c r="H148" i="1"/>
  <c r="I148" i="1" s="1"/>
  <c r="I409" i="1" l="1"/>
  <c r="H410" i="1"/>
  <c r="H149" i="1"/>
  <c r="I149" i="1" s="1"/>
  <c r="H411" i="1" l="1"/>
  <c r="I410" i="1"/>
  <c r="H150" i="1"/>
  <c r="I150" i="1" s="1"/>
  <c r="I411" i="1" l="1"/>
  <c r="H412" i="1"/>
  <c r="H151" i="1"/>
  <c r="I151" i="1" s="1"/>
  <c r="H413" i="1" l="1"/>
  <c r="I412" i="1"/>
  <c r="H152" i="1"/>
  <c r="I152" i="1" s="1"/>
  <c r="I413" i="1" l="1"/>
  <c r="H414" i="1"/>
  <c r="H153" i="1"/>
  <c r="I153" i="1" s="1"/>
  <c r="I414" i="1" l="1"/>
  <c r="H415" i="1"/>
  <c r="H154" i="1"/>
  <c r="I154" i="1" s="1"/>
  <c r="I415" i="1" l="1"/>
  <c r="H416" i="1"/>
  <c r="H155" i="1"/>
  <c r="I155" i="1" s="1"/>
  <c r="H417" i="1" l="1"/>
  <c r="I416" i="1"/>
  <c r="H156" i="1"/>
  <c r="I156" i="1" s="1"/>
  <c r="I417" i="1" l="1"/>
  <c r="H418" i="1"/>
  <c r="H157" i="1"/>
  <c r="I157" i="1" s="1"/>
  <c r="I418" i="1" l="1"/>
  <c r="H419" i="1"/>
  <c r="H158" i="1"/>
  <c r="I158" i="1" s="1"/>
  <c r="I419" i="1" l="1"/>
  <c r="H420" i="1"/>
  <c r="H159" i="1"/>
  <c r="I159" i="1" s="1"/>
  <c r="H421" i="1" l="1"/>
  <c r="I420" i="1"/>
  <c r="H160" i="1"/>
  <c r="I160" i="1" s="1"/>
  <c r="I421" i="1" l="1"/>
  <c r="H422" i="1"/>
  <c r="H161" i="1"/>
  <c r="I161" i="1" s="1"/>
  <c r="I422" i="1" l="1"/>
  <c r="H423" i="1"/>
  <c r="H162" i="1"/>
  <c r="I162" i="1" s="1"/>
  <c r="I423" i="1" l="1"/>
  <c r="H424" i="1"/>
  <c r="H163" i="1"/>
  <c r="I163" i="1" s="1"/>
  <c r="I424" i="1" l="1"/>
  <c r="H425" i="1"/>
  <c r="H164" i="1"/>
  <c r="I164" i="1" s="1"/>
  <c r="I425" i="1" l="1"/>
  <c r="H426" i="1"/>
  <c r="H165" i="1"/>
  <c r="I165" i="1" s="1"/>
  <c r="I426" i="1" l="1"/>
  <c r="H427" i="1"/>
  <c r="H166" i="1"/>
  <c r="I166" i="1" s="1"/>
  <c r="I427" i="1" l="1"/>
  <c r="H428" i="1"/>
  <c r="H167" i="1"/>
  <c r="I167" i="1" s="1"/>
  <c r="I428" i="1" l="1"/>
  <c r="H429" i="1"/>
  <c r="H168" i="1"/>
  <c r="I168" i="1" s="1"/>
  <c r="I429" i="1" l="1"/>
  <c r="H430" i="1"/>
  <c r="H169" i="1"/>
  <c r="I169" i="1" s="1"/>
  <c r="H431" i="1" l="1"/>
  <c r="I430" i="1"/>
  <c r="H170" i="1"/>
  <c r="I170" i="1" s="1"/>
  <c r="I431" i="1" l="1"/>
  <c r="H432" i="1"/>
  <c r="H171" i="1"/>
  <c r="I171" i="1" s="1"/>
  <c r="I432" i="1" l="1"/>
  <c r="H433" i="1"/>
  <c r="H172" i="1"/>
  <c r="I172" i="1" s="1"/>
  <c r="I433" i="1" l="1"/>
  <c r="H434" i="1"/>
  <c r="H173" i="1"/>
  <c r="I173" i="1" s="1"/>
  <c r="I434" i="1" l="1"/>
  <c r="H435" i="1"/>
  <c r="H174" i="1"/>
  <c r="I174" i="1" s="1"/>
  <c r="I435" i="1" l="1"/>
  <c r="H436" i="1"/>
  <c r="H175" i="1"/>
  <c r="I175" i="1" s="1"/>
  <c r="I436" i="1" l="1"/>
  <c r="H437" i="1"/>
  <c r="H176" i="1"/>
  <c r="I176" i="1" s="1"/>
  <c r="I437" i="1" l="1"/>
  <c r="H438" i="1"/>
  <c r="H177" i="1"/>
  <c r="I177" i="1" s="1"/>
  <c r="H439" i="1" l="1"/>
  <c r="I438" i="1"/>
  <c r="H178" i="1"/>
  <c r="I178" i="1" s="1"/>
  <c r="I439" i="1" l="1"/>
  <c r="H440" i="1"/>
  <c r="H179" i="1"/>
  <c r="I179" i="1" s="1"/>
  <c r="H441" i="1" l="1"/>
  <c r="I440" i="1"/>
  <c r="H180" i="1"/>
  <c r="I180" i="1" s="1"/>
  <c r="I441" i="1" l="1"/>
  <c r="H442" i="1"/>
  <c r="H181" i="1"/>
  <c r="I181" i="1" s="1"/>
  <c r="I442" i="1" l="1"/>
  <c r="H443" i="1"/>
  <c r="H182" i="1"/>
  <c r="I182" i="1" s="1"/>
  <c r="I443" i="1" l="1"/>
  <c r="H444" i="1"/>
  <c r="H183" i="1"/>
  <c r="I183" i="1" s="1"/>
  <c r="I444" i="1" l="1"/>
  <c r="H445" i="1"/>
  <c r="H184" i="1"/>
  <c r="I184" i="1" s="1"/>
  <c r="I445" i="1" l="1"/>
  <c r="H446" i="1"/>
  <c r="H185" i="1"/>
  <c r="I185" i="1" s="1"/>
  <c r="H447" i="1" l="1"/>
  <c r="I446" i="1"/>
  <c r="H186" i="1"/>
  <c r="I186" i="1" s="1"/>
  <c r="I447" i="1" l="1"/>
  <c r="H448" i="1"/>
  <c r="H187" i="1"/>
  <c r="I187" i="1" s="1"/>
  <c r="I448" i="1" l="1"/>
  <c r="H449" i="1"/>
  <c r="H188" i="1"/>
  <c r="I188" i="1" s="1"/>
  <c r="I449" i="1" l="1"/>
  <c r="H450" i="1"/>
  <c r="H189" i="1"/>
  <c r="I189" i="1" s="1"/>
  <c r="I450" i="1" l="1"/>
  <c r="H451" i="1"/>
  <c r="H190" i="1"/>
  <c r="I190" i="1" s="1"/>
  <c r="I451" i="1" l="1"/>
  <c r="H452" i="1"/>
  <c r="H191" i="1"/>
  <c r="I191" i="1" s="1"/>
  <c r="I452" i="1" l="1"/>
  <c r="H453" i="1"/>
  <c r="H192" i="1"/>
  <c r="I192" i="1" s="1"/>
  <c r="I453" i="1" l="1"/>
  <c r="H454" i="1"/>
  <c r="H193" i="1"/>
  <c r="I193" i="1" s="1"/>
  <c r="H455" i="1" l="1"/>
  <c r="I454" i="1"/>
  <c r="H194" i="1"/>
  <c r="I194" i="1" s="1"/>
  <c r="I455" i="1" l="1"/>
  <c r="H456" i="1"/>
  <c r="H195" i="1"/>
  <c r="I195" i="1" s="1"/>
  <c r="H457" i="1" l="1"/>
  <c r="I456" i="1"/>
  <c r="H196" i="1"/>
  <c r="I196" i="1" s="1"/>
  <c r="I457" i="1" l="1"/>
  <c r="H458" i="1"/>
  <c r="H197" i="1"/>
  <c r="I197" i="1" s="1"/>
  <c r="I458" i="1" l="1"/>
  <c r="H459" i="1"/>
  <c r="H198" i="1"/>
  <c r="I198" i="1" s="1"/>
  <c r="I459" i="1" l="1"/>
  <c r="H460" i="1"/>
  <c r="H199" i="1"/>
  <c r="I199" i="1" s="1"/>
  <c r="I460" i="1" l="1"/>
  <c r="H461" i="1"/>
  <c r="H200" i="1"/>
  <c r="I200" i="1" s="1"/>
  <c r="I461" i="1" l="1"/>
  <c r="H462" i="1"/>
  <c r="H201" i="1"/>
  <c r="I201" i="1" s="1"/>
  <c r="H463" i="1" l="1"/>
  <c r="I462" i="1"/>
  <c r="H202" i="1"/>
  <c r="I202" i="1" s="1"/>
  <c r="I463" i="1" l="1"/>
  <c r="H464" i="1"/>
  <c r="H203" i="1"/>
  <c r="I203" i="1" s="1"/>
  <c r="H465" i="1" l="1"/>
  <c r="I464" i="1"/>
  <c r="H204" i="1"/>
  <c r="I204" i="1" s="1"/>
  <c r="I465" i="1" l="1"/>
  <c r="H466" i="1"/>
  <c r="H205" i="1"/>
  <c r="I205" i="1" s="1"/>
  <c r="I466" i="1" l="1"/>
  <c r="H467" i="1"/>
  <c r="H206" i="1"/>
  <c r="I206" i="1" s="1"/>
  <c r="I467" i="1" l="1"/>
  <c r="H468" i="1"/>
  <c r="H207" i="1"/>
  <c r="I207" i="1" s="1"/>
  <c r="I468" i="1" l="1"/>
  <c r="H469" i="1"/>
  <c r="H208" i="1"/>
  <c r="I208" i="1" s="1"/>
  <c r="I469" i="1" l="1"/>
  <c r="H470" i="1"/>
  <c r="H209" i="1"/>
  <c r="I209" i="1" s="1"/>
  <c r="H471" i="1" l="1"/>
  <c r="I470" i="1"/>
  <c r="H210" i="1"/>
  <c r="I210" i="1" s="1"/>
  <c r="I471" i="1" l="1"/>
  <c r="H472" i="1"/>
  <c r="H211" i="1"/>
  <c r="I211" i="1" s="1"/>
  <c r="H473" i="1" l="1"/>
  <c r="I472" i="1"/>
  <c r="H212" i="1"/>
  <c r="I212" i="1" s="1"/>
  <c r="I473" i="1" l="1"/>
  <c r="H474" i="1"/>
  <c r="H213" i="1"/>
  <c r="I213" i="1" s="1"/>
  <c r="I474" i="1" l="1"/>
  <c r="H475" i="1"/>
  <c r="H214" i="1"/>
  <c r="I214" i="1" s="1"/>
  <c r="I475" i="1" l="1"/>
  <c r="H476" i="1"/>
  <c r="H215" i="1"/>
  <c r="I215" i="1" s="1"/>
  <c r="I476" i="1" l="1"/>
  <c r="H477" i="1"/>
  <c r="H216" i="1"/>
  <c r="I216" i="1" s="1"/>
  <c r="I477" i="1" l="1"/>
  <c r="H478" i="1"/>
  <c r="H217" i="1"/>
  <c r="I217" i="1" s="1"/>
  <c r="H479" i="1" l="1"/>
  <c r="I478" i="1"/>
  <c r="H218" i="1"/>
  <c r="I218" i="1" s="1"/>
  <c r="I479" i="1" l="1"/>
  <c r="H480" i="1"/>
  <c r="H219" i="1"/>
  <c r="I219" i="1" s="1"/>
  <c r="I480" i="1" l="1"/>
  <c r="H481" i="1"/>
  <c r="H220" i="1"/>
  <c r="I220" i="1" s="1"/>
  <c r="I481" i="1" l="1"/>
  <c r="H482" i="1"/>
  <c r="H221" i="1"/>
  <c r="I221" i="1" s="1"/>
  <c r="I482" i="1" l="1"/>
  <c r="H483" i="1"/>
  <c r="H222" i="1"/>
  <c r="I222" i="1" s="1"/>
  <c r="I483" i="1" l="1"/>
  <c r="H484" i="1"/>
  <c r="H223" i="1"/>
  <c r="I223" i="1" s="1"/>
  <c r="I484" i="1" l="1"/>
  <c r="H485" i="1"/>
  <c r="H224" i="1"/>
  <c r="I224" i="1" s="1"/>
  <c r="I485" i="1" l="1"/>
  <c r="H486" i="1"/>
  <c r="H225" i="1"/>
  <c r="I225" i="1" s="1"/>
  <c r="H487" i="1" l="1"/>
  <c r="I486" i="1"/>
  <c r="H226" i="1"/>
  <c r="I226" i="1" s="1"/>
  <c r="I487" i="1" l="1"/>
  <c r="H488" i="1"/>
  <c r="H227" i="1"/>
  <c r="I227" i="1" s="1"/>
  <c r="I488" i="1" l="1"/>
  <c r="H489" i="1"/>
  <c r="H228" i="1"/>
  <c r="I228" i="1" s="1"/>
  <c r="I489" i="1" l="1"/>
  <c r="H490" i="1"/>
  <c r="H229" i="1"/>
  <c r="I229" i="1" s="1"/>
  <c r="I490" i="1" l="1"/>
  <c r="H491" i="1"/>
  <c r="H230" i="1"/>
  <c r="I230" i="1" s="1"/>
  <c r="I491" i="1" l="1"/>
  <c r="H492" i="1"/>
  <c r="H231" i="1"/>
  <c r="I231" i="1" s="1"/>
  <c r="I492" i="1" l="1"/>
  <c r="H493" i="1"/>
  <c r="H232" i="1"/>
  <c r="I232" i="1" s="1"/>
  <c r="I493" i="1" l="1"/>
  <c r="H494" i="1"/>
  <c r="H233" i="1"/>
  <c r="I233" i="1" s="1"/>
  <c r="H495" i="1" l="1"/>
  <c r="I494" i="1"/>
  <c r="H234" i="1"/>
  <c r="I234" i="1" s="1"/>
  <c r="I495" i="1" l="1"/>
  <c r="H496" i="1"/>
  <c r="H235" i="1"/>
  <c r="I235" i="1" s="1"/>
  <c r="I496" i="1" l="1"/>
  <c r="H497" i="1"/>
  <c r="H236" i="1"/>
  <c r="I236" i="1" s="1"/>
  <c r="I497" i="1" l="1"/>
  <c r="H498" i="1"/>
  <c r="H237" i="1"/>
  <c r="I237" i="1" s="1"/>
  <c r="I498" i="1" l="1"/>
  <c r="H499" i="1"/>
  <c r="H238" i="1"/>
  <c r="I238" i="1" s="1"/>
  <c r="I499" i="1" l="1"/>
  <c r="H500" i="1"/>
  <c r="H239" i="1"/>
  <c r="I239" i="1" s="1"/>
  <c r="I500" i="1" l="1"/>
  <c r="H501" i="1"/>
  <c r="H240" i="1"/>
  <c r="I240" i="1" s="1"/>
  <c r="I501" i="1" l="1"/>
  <c r="H502" i="1"/>
  <c r="H241" i="1"/>
  <c r="I241" i="1" s="1"/>
  <c r="H503" i="1" l="1"/>
  <c r="I502" i="1"/>
  <c r="H242" i="1"/>
  <c r="I242" i="1" s="1"/>
  <c r="I503" i="1" l="1"/>
  <c r="H504" i="1"/>
  <c r="H243" i="1"/>
  <c r="I243" i="1" s="1"/>
  <c r="H505" i="1" l="1"/>
  <c r="I504" i="1"/>
  <c r="H244" i="1"/>
  <c r="I244" i="1" s="1"/>
  <c r="I505" i="1" l="1"/>
  <c r="H506" i="1"/>
  <c r="H245" i="1"/>
  <c r="I245" i="1" s="1"/>
  <c r="I506" i="1" l="1"/>
  <c r="H507" i="1"/>
  <c r="H246" i="1"/>
  <c r="I246" i="1" s="1"/>
  <c r="I507" i="1" l="1"/>
  <c r="H508" i="1"/>
  <c r="H247" i="1"/>
  <c r="I247" i="1" s="1"/>
  <c r="I508" i="1" l="1"/>
  <c r="H509" i="1"/>
  <c r="H248" i="1"/>
  <c r="I248" i="1" s="1"/>
  <c r="I509" i="1" l="1"/>
  <c r="H510" i="1"/>
  <c r="H249" i="1"/>
  <c r="I249" i="1" s="1"/>
  <c r="H511" i="1" l="1"/>
  <c r="I510" i="1"/>
  <c r="H250" i="1"/>
  <c r="I250" i="1" s="1"/>
  <c r="I511" i="1" l="1"/>
  <c r="H512" i="1"/>
  <c r="H251" i="1"/>
  <c r="I251" i="1" s="1"/>
  <c r="I512" i="1" l="1"/>
  <c r="H513" i="1"/>
  <c r="H252" i="1"/>
  <c r="I252" i="1" s="1"/>
  <c r="I513" i="1" l="1"/>
  <c r="H514" i="1"/>
  <c r="H253" i="1"/>
  <c r="I253" i="1" s="1"/>
  <c r="I514" i="1" l="1"/>
  <c r="H515" i="1"/>
  <c r="H254" i="1"/>
  <c r="I254" i="1" s="1"/>
  <c r="I515" i="1" l="1"/>
  <c r="H516" i="1"/>
  <c r="H255" i="1"/>
  <c r="I255" i="1" s="1"/>
  <c r="I516" i="1" l="1"/>
  <c r="H517" i="1"/>
  <c r="H256" i="1"/>
  <c r="I256" i="1" s="1"/>
  <c r="I517" i="1" l="1"/>
  <c r="H518" i="1"/>
  <c r="H257" i="1"/>
  <c r="I257" i="1" s="1"/>
  <c r="H519" i="1" l="1"/>
  <c r="I518" i="1"/>
  <c r="H258" i="1"/>
  <c r="I258" i="1" s="1"/>
  <c r="I519" i="1" l="1"/>
  <c r="H520" i="1"/>
  <c r="I520" i="1" l="1"/>
  <c r="H521" i="1"/>
  <c r="I521" i="1" l="1"/>
  <c r="H522" i="1"/>
  <c r="I522" i="1" l="1"/>
  <c r="H523" i="1"/>
  <c r="I523" i="1" l="1"/>
  <c r="H524" i="1"/>
  <c r="I524" i="1" l="1"/>
  <c r="H525" i="1"/>
  <c r="I525" i="1" l="1"/>
  <c r="H526" i="1"/>
  <c r="H527" i="1" l="1"/>
  <c r="I526" i="1"/>
  <c r="I527" i="1" l="1"/>
  <c r="H528" i="1"/>
  <c r="H529" i="1" l="1"/>
  <c r="I528" i="1"/>
  <c r="I529" i="1" l="1"/>
  <c r="H530" i="1"/>
  <c r="I530" i="1" l="1"/>
  <c r="H531" i="1"/>
  <c r="I531" i="1" l="1"/>
  <c r="H532" i="1"/>
  <c r="I532" i="1" l="1"/>
  <c r="H533" i="1"/>
  <c r="I533" i="1" l="1"/>
  <c r="H534" i="1"/>
  <c r="H535" i="1" l="1"/>
  <c r="I534" i="1"/>
  <c r="I535" i="1" l="1"/>
  <c r="H536" i="1"/>
  <c r="I536" i="1" l="1"/>
  <c r="H537" i="1"/>
  <c r="I537" i="1" l="1"/>
  <c r="H538" i="1"/>
  <c r="I538" i="1" l="1"/>
  <c r="H539" i="1"/>
  <c r="I539" i="1" l="1"/>
  <c r="H540" i="1"/>
  <c r="I540" i="1" l="1"/>
  <c r="H541" i="1"/>
  <c r="I541" i="1" l="1"/>
  <c r="H542" i="1"/>
  <c r="H543" i="1" l="1"/>
  <c r="I542" i="1"/>
  <c r="I543" i="1" l="1"/>
  <c r="H544" i="1"/>
  <c r="I544" i="1" l="1"/>
  <c r="H545" i="1"/>
  <c r="I545" i="1" l="1"/>
  <c r="H546" i="1"/>
  <c r="I546" i="1" l="1"/>
  <c r="H547" i="1"/>
  <c r="I547" i="1" l="1"/>
  <c r="H548" i="1"/>
  <c r="I548" i="1" l="1"/>
  <c r="H549" i="1"/>
  <c r="I549" i="1" l="1"/>
  <c r="H550" i="1"/>
  <c r="H551" i="1" l="1"/>
  <c r="I550" i="1"/>
  <c r="I551" i="1" l="1"/>
  <c r="H552" i="1"/>
  <c r="I552" i="1" l="1"/>
  <c r="H553" i="1"/>
  <c r="I553" i="1" l="1"/>
  <c r="H554" i="1"/>
  <c r="I554" i="1" l="1"/>
  <c r="H555" i="1"/>
  <c r="I555" i="1" l="1"/>
  <c r="H556" i="1"/>
  <c r="I556" i="1" l="1"/>
  <c r="H557" i="1"/>
  <c r="I557" i="1" l="1"/>
  <c r="H558" i="1"/>
  <c r="H559" i="1" l="1"/>
  <c r="I558" i="1"/>
  <c r="I559" i="1" l="1"/>
  <c r="H560" i="1"/>
  <c r="H561" i="1" l="1"/>
  <c r="I560" i="1"/>
  <c r="I561" i="1" l="1"/>
  <c r="H562" i="1"/>
  <c r="I562" i="1" l="1"/>
  <c r="H563" i="1"/>
  <c r="I563" i="1" l="1"/>
  <c r="H564" i="1"/>
  <c r="I564" i="1" l="1"/>
  <c r="H565" i="1"/>
  <c r="I565" i="1" l="1"/>
  <c r="H566" i="1"/>
  <c r="H567" i="1" l="1"/>
  <c r="I566" i="1"/>
  <c r="I567" i="1" l="1"/>
  <c r="H568" i="1"/>
  <c r="H569" i="1" l="1"/>
  <c r="I568" i="1"/>
  <c r="I569" i="1" l="1"/>
  <c r="H570" i="1"/>
  <c r="I570" i="1" l="1"/>
  <c r="H571" i="1"/>
  <c r="I571" i="1" l="1"/>
  <c r="H572" i="1"/>
  <c r="I572" i="1" l="1"/>
  <c r="H573" i="1"/>
  <c r="I573" i="1" l="1"/>
  <c r="H574" i="1"/>
  <c r="H575" i="1" l="1"/>
  <c r="I574" i="1"/>
  <c r="I575" i="1" l="1"/>
  <c r="H576" i="1"/>
  <c r="I576" i="1" l="1"/>
  <c r="H577" i="1"/>
  <c r="I577" i="1" l="1"/>
  <c r="H578" i="1"/>
  <c r="H579" i="1" l="1"/>
  <c r="I578" i="1"/>
  <c r="I579" i="1" l="1"/>
  <c r="H580" i="1"/>
  <c r="I580" i="1" l="1"/>
  <c r="H581" i="1"/>
  <c r="I581" i="1" l="1"/>
  <c r="H582" i="1"/>
  <c r="H583" i="1" l="1"/>
  <c r="I582" i="1"/>
  <c r="I583" i="1" l="1"/>
  <c r="H584" i="1"/>
  <c r="I584" i="1" l="1"/>
  <c r="H585" i="1"/>
  <c r="I585" i="1" l="1"/>
  <c r="H586" i="1"/>
  <c r="I586" i="1" l="1"/>
  <c r="H587" i="1"/>
  <c r="I587" i="1" l="1"/>
  <c r="H588" i="1"/>
  <c r="I588" i="1" l="1"/>
  <c r="H589" i="1"/>
  <c r="I589" i="1" l="1"/>
  <c r="H590" i="1"/>
  <c r="H591" i="1" l="1"/>
  <c r="I590" i="1"/>
  <c r="I591" i="1" l="1"/>
  <c r="H592" i="1"/>
  <c r="I592" i="1" l="1"/>
  <c r="H593" i="1"/>
  <c r="I593" i="1" l="1"/>
  <c r="H594" i="1"/>
  <c r="I594" i="1" l="1"/>
  <c r="H595" i="1"/>
  <c r="I595" i="1" l="1"/>
  <c r="H596" i="1"/>
  <c r="I596" i="1" l="1"/>
  <c r="H597" i="1"/>
  <c r="I597" i="1" l="1"/>
  <c r="H598" i="1"/>
  <c r="H599" i="1" l="1"/>
  <c r="I598" i="1"/>
  <c r="I599" i="1" l="1"/>
  <c r="H600" i="1"/>
  <c r="I600" i="1" l="1"/>
  <c r="H601" i="1"/>
  <c r="I601" i="1" l="1"/>
  <c r="H602" i="1"/>
  <c r="H603" i="1" l="1"/>
  <c r="I602" i="1"/>
  <c r="I603" i="1" l="1"/>
  <c r="H604" i="1"/>
  <c r="I604" i="1" l="1"/>
  <c r="H605" i="1"/>
  <c r="I605" i="1" l="1"/>
  <c r="H606" i="1"/>
  <c r="H607" i="1" l="1"/>
  <c r="I606" i="1"/>
  <c r="I607" i="1" l="1"/>
  <c r="H608" i="1"/>
  <c r="I608" i="1" l="1"/>
  <c r="H609" i="1"/>
  <c r="I609" i="1" l="1"/>
  <c r="H610" i="1"/>
  <c r="H611" i="1" l="1"/>
  <c r="I610" i="1"/>
  <c r="I611" i="1" l="1"/>
  <c r="H612" i="1"/>
  <c r="I612" i="1" l="1"/>
  <c r="H613" i="1"/>
  <c r="I613" i="1" l="1"/>
  <c r="H614" i="1"/>
  <c r="I614" i="1" l="1"/>
  <c r="H615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I635" i="1" l="1"/>
  <c r="H636" i="1"/>
  <c r="I636" i="1" l="1"/>
  <c r="H637" i="1"/>
  <c r="I637" i="1" l="1"/>
  <c r="H638" i="1"/>
  <c r="I638" i="1" l="1"/>
  <c r="H639" i="1"/>
  <c r="I639" i="1" l="1"/>
  <c r="H640" i="1"/>
  <c r="I640" i="1" l="1"/>
  <c r="H641" i="1"/>
  <c r="I641" i="1" l="1"/>
  <c r="H642" i="1"/>
  <c r="H643" i="1" l="1"/>
  <c r="I642" i="1"/>
  <c r="I643" i="1" l="1"/>
  <c r="H644" i="1"/>
  <c r="I644" i="1" l="1"/>
  <c r="H645" i="1"/>
  <c r="I645" i="1" l="1"/>
  <c r="H646" i="1"/>
  <c r="H647" i="1" l="1"/>
  <c r="I646" i="1"/>
  <c r="I647" i="1" l="1"/>
  <c r="H648" i="1"/>
  <c r="H649" i="1" l="1"/>
  <c r="I648" i="1"/>
  <c r="I649" i="1" l="1"/>
  <c r="H650" i="1"/>
  <c r="H651" i="1" l="1"/>
  <c r="I650" i="1"/>
  <c r="I651" i="1" l="1"/>
  <c r="H652" i="1"/>
  <c r="I652" i="1" l="1"/>
  <c r="H653" i="1"/>
  <c r="I653" i="1" l="1"/>
  <c r="H654" i="1"/>
  <c r="H655" i="1" l="1"/>
  <c r="I654" i="1"/>
  <c r="I655" i="1" l="1"/>
  <c r="H656" i="1"/>
  <c r="I656" i="1" l="1"/>
  <c r="H657" i="1"/>
  <c r="I657" i="1" l="1"/>
  <c r="H658" i="1"/>
  <c r="I658" i="1" l="1"/>
  <c r="H659" i="1"/>
  <c r="I659" i="1" l="1"/>
  <c r="H660" i="1"/>
  <c r="I660" i="1" l="1"/>
  <c r="H661" i="1"/>
  <c r="I661" i="1" l="1"/>
  <c r="H662" i="1"/>
  <c r="H663" i="1" l="1"/>
  <c r="I662" i="1"/>
  <c r="I663" i="1" l="1"/>
  <c r="H664" i="1"/>
  <c r="H665" i="1" l="1"/>
  <c r="I664" i="1"/>
  <c r="I665" i="1" l="1"/>
  <c r="H666" i="1"/>
  <c r="I666" i="1" l="1"/>
  <c r="H667" i="1"/>
  <c r="I667" i="1" l="1"/>
  <c r="H668" i="1"/>
  <c r="I668" i="1" l="1"/>
  <c r="H669" i="1"/>
  <c r="I669" i="1" l="1"/>
  <c r="H670" i="1"/>
  <c r="H671" i="1" l="1"/>
  <c r="I670" i="1"/>
  <c r="I671" i="1" l="1"/>
  <c r="H672" i="1"/>
  <c r="H673" i="1" l="1"/>
  <c r="I672" i="1"/>
  <c r="I673" i="1" l="1"/>
  <c r="H674" i="1"/>
  <c r="H675" i="1" l="1"/>
  <c r="I674" i="1"/>
  <c r="I675" i="1" l="1"/>
  <c r="H676" i="1"/>
  <c r="I676" i="1" l="1"/>
  <c r="H677" i="1"/>
  <c r="I677" i="1" l="1"/>
  <c r="H678" i="1"/>
  <c r="I678" i="1" l="1"/>
  <c r="H679" i="1"/>
  <c r="I679" i="1" l="1"/>
  <c r="H680" i="1"/>
  <c r="H681" i="1" l="1"/>
  <c r="I680" i="1"/>
  <c r="I681" i="1" l="1"/>
  <c r="H682" i="1"/>
  <c r="H683" i="1" l="1"/>
  <c r="I682" i="1"/>
  <c r="I683" i="1" l="1"/>
  <c r="H684" i="1"/>
  <c r="I684" i="1" l="1"/>
  <c r="H685" i="1"/>
  <c r="I685" i="1" l="1"/>
  <c r="H686" i="1"/>
  <c r="I686" i="1" l="1"/>
  <c r="H687" i="1"/>
  <c r="I687" i="1" l="1"/>
  <c r="H688" i="1"/>
  <c r="I688" i="1" l="1"/>
  <c r="H689" i="1"/>
  <c r="I689" i="1" l="1"/>
  <c r="H690" i="1"/>
  <c r="I690" i="1" l="1"/>
  <c r="H691" i="1"/>
  <c r="I691" i="1" l="1"/>
  <c r="H692" i="1"/>
  <c r="I692" i="1" l="1"/>
  <c r="H693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s="1"/>
</calcChain>
</file>

<file path=xl/sharedStrings.xml><?xml version="1.0" encoding="utf-8"?>
<sst xmlns="http://schemas.openxmlformats.org/spreadsheetml/2006/main" count="754" uniqueCount="47">
  <si>
    <t>rad</t>
  </si>
  <si>
    <t>Vx</t>
  </si>
  <si>
    <t>Vrs</t>
  </si>
  <si>
    <t>Ulx</t>
  </si>
  <si>
    <t>loss angle for capacitance</t>
  </si>
  <si>
    <t>Vg</t>
  </si>
  <si>
    <t>,</t>
  </si>
  <si>
    <t>12Mhz</t>
  </si>
  <si>
    <t>PI</t>
  </si>
  <si>
    <t>value</t>
  </si>
  <si>
    <t>Sine table</t>
  </si>
  <si>
    <t>9Mhz</t>
  </si>
  <si>
    <t>ADC sampling time in microseconds, based on clock cycles. (Fcpu=72mhz)</t>
  </si>
  <si>
    <t>DO NOT USE THIS AS 100% CORRECT SOURCE</t>
  </si>
  <si>
    <t>Rs</t>
  </si>
  <si>
    <t>L1</t>
  </si>
  <si>
    <t>f</t>
  </si>
  <si>
    <t>Inductor</t>
  </si>
  <si>
    <t>Reactance</t>
  </si>
  <si>
    <t>current</t>
  </si>
  <si>
    <t>ADC cycles</t>
  </si>
  <si>
    <t>sampling time [s]</t>
  </si>
  <si>
    <t>sampling time [us]</t>
  </si>
  <si>
    <t>sinewave samples</t>
  </si>
  <si>
    <t>Vmax</t>
  </si>
  <si>
    <t>reactance of inductor [ohm]</t>
  </si>
  <si>
    <t>impedance of whole circuit</t>
  </si>
  <si>
    <t>phase shift</t>
  </si>
  <si>
    <t>Becuase sampling time equals one sample - resolution</t>
  </si>
  <si>
    <t>Frequency of sinewave in real hardware</t>
  </si>
  <si>
    <t>after averaging with step size 5</t>
  </si>
  <si>
    <t>detectable phase shift in degrees</t>
  </si>
  <si>
    <t>inductance [H]</t>
  </si>
  <si>
    <t>freqyuncy [Hz]</t>
  </si>
  <si>
    <t>From "sinewave" tab let's assume that minimal detectable phase shift is 1 deg.</t>
  </si>
  <si>
    <t>freq = 500 hz, 1mH is feasoble to detect.</t>
  </si>
  <si>
    <t>freq = 100 hz, 1mH is feasoble to detect.</t>
  </si>
  <si>
    <t>frequency in Hz</t>
  </si>
  <si>
    <t>For g4 and 5Khz</t>
  </si>
  <si>
    <t xml:space="preserve">ADC cycles </t>
  </si>
  <si>
    <t>for 60 mHZ</t>
  </si>
  <si>
    <t>after 5 mean averaging</t>
  </si>
  <si>
    <t>OBSOLETE below</t>
  </si>
  <si>
    <t>offset</t>
  </si>
  <si>
    <t>amplitude</t>
  </si>
  <si>
    <t>8 bit</t>
  </si>
  <si>
    <t>8bit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</si>
</sst>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57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ck">
        <color rgb="FFFF0000"/>
      </top>
      <bottom/>
      <diagonal/>
    </border>
    <border>
      <left/>
      <right style="thick">
        <color auto="1"/>
      </right>
      <top style="thick">
        <color rgb="FFFF0000"/>
      </top>
      <bottom/>
      <diagonal/>
    </border>
    <border>
      <left style="thin">
        <color auto="1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/>
      <right style="thick">
        <color auto="1"/>
      </right>
      <top/>
      <bottom style="thin">
        <color rgb="FF00B0F0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8" applyNumberFormat="0" applyAlignment="0" applyProtection="0"/>
    <xf numFmtId="0" fontId="4" fillId="5" borderId="19" applyNumberFormat="0" applyAlignment="0" applyProtection="0"/>
  </cellStyleXfs>
  <cellXfs count="4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1" fontId="0" fillId="0" borderId="0" xfId="0" applyNumberFormat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1" fontId="0" fillId="0" borderId="9" xfId="0" applyNumberFormat="1" applyBorder="1"/>
    <xf numFmtId="0" fontId="0" fillId="0" borderId="18" xfId="0" applyBorder="1"/>
    <xf numFmtId="0" fontId="3" fillId="4" borderId="18" xfId="3" applyBorder="1"/>
    <xf numFmtId="0" fontId="1" fillId="2" borderId="9" xfId="1" applyBorder="1"/>
    <xf numFmtId="0" fontId="2" fillId="3" borderId="9" xfId="2" applyBorder="1"/>
    <xf numFmtId="0" fontId="1" fillId="2" borderId="18" xfId="1" applyBorder="1"/>
    <xf numFmtId="0" fontId="4" fillId="5" borderId="19" xfId="4"/>
    <xf numFmtId="0" fontId="0" fillId="0" borderId="0" xfId="0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textRotation="90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/>
    </xf>
  </cellXfs>
  <cellStyles count="5">
    <cellStyle name="Dane wejściowe" xfId="3" builtinId="20"/>
    <cellStyle name="Dobry" xfId="1" builtinId="26"/>
    <cellStyle name="Komórka zaznaczona" xfId="4" builtinId="23"/>
    <cellStyle name="Neutralny" xfId="2" builtinId="2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15742-D441-4FFB-89F0-A5D4498946AF}">
  <dimension ref="A1:M705"/>
  <sheetViews>
    <sheetView tabSelected="1" zoomScale="130" zoomScaleNormal="130" workbookViewId="0">
      <selection activeCell="B35" sqref="B35"/>
    </sheetView>
  </sheetViews>
  <sheetFormatPr defaultRowHeight="15" x14ac:dyDescent="0.25"/>
  <cols>
    <col min="1" max="1" width="9.85546875" bestFit="1" customWidth="1"/>
    <col min="2" max="2" width="77.5703125" customWidth="1"/>
    <col min="3" max="3" width="24.7109375" customWidth="1"/>
    <col min="4" max="4" width="11.7109375" customWidth="1"/>
    <col min="5" max="5" width="22.5703125" customWidth="1"/>
    <col min="6" max="6" width="12.28515625" customWidth="1"/>
    <col min="7" max="7" width="21.42578125" customWidth="1"/>
  </cols>
  <sheetData>
    <row r="1" spans="1:13" ht="15.75" thickBot="1" x14ac:dyDescent="0.3">
      <c r="A1" s="1"/>
      <c r="B1" s="2">
        <f>PI()/2-(A4+ASIN(A6*SIN(A4)/A8))</f>
        <v>2.8566562920418002</v>
      </c>
      <c r="C1" s="3"/>
      <c r="H1" s="26" t="s">
        <v>10</v>
      </c>
      <c r="I1" s="26"/>
      <c r="K1" t="s">
        <v>43</v>
      </c>
      <c r="L1">
        <v>2078</v>
      </c>
      <c r="M1" t="s">
        <v>45</v>
      </c>
    </row>
    <row r="2" spans="1:13" ht="16.5" thickTop="1" thickBot="1" x14ac:dyDescent="0.3">
      <c r="A2" s="4"/>
      <c r="B2" s="5">
        <f>DEGREES(B1)</f>
        <v>163.67434905348628</v>
      </c>
      <c r="C2" s="6"/>
      <c r="G2" s="12" t="s">
        <v>23</v>
      </c>
      <c r="H2" s="14">
        <v>400</v>
      </c>
      <c r="I2">
        <f>2*PI()/H2</f>
        <v>1.5707963267948967E-2</v>
      </c>
      <c r="K2" t="s">
        <v>44</v>
      </c>
      <c r="L2">
        <v>1024</v>
      </c>
      <c r="M2" t="s">
        <v>46</v>
      </c>
    </row>
    <row r="3" spans="1:13" ht="15.75" thickTop="1" x14ac:dyDescent="0.25">
      <c r="A3" s="4" t="s">
        <v>0</v>
      </c>
      <c r="B3" s="5">
        <f>PI()-B1</f>
        <v>0.28493636154799296</v>
      </c>
      <c r="C3" s="6"/>
      <c r="H3" s="15" t="s">
        <v>8</v>
      </c>
      <c r="I3" s="16" t="s">
        <v>9</v>
      </c>
    </row>
    <row r="4" spans="1:13" x14ac:dyDescent="0.25">
      <c r="A4" s="4">
        <f>RADIANS(-39.92)</f>
        <v>-0.69673543739613641</v>
      </c>
      <c r="B4" s="5"/>
      <c r="C4" s="6"/>
      <c r="H4" s="17">
        <f>I2</f>
        <v>1.5707963267948967E-2</v>
      </c>
      <c r="I4" s="18">
        <f>ROUND(SIN(H4)*$L$2+$L$1,0)</f>
        <v>2094</v>
      </c>
      <c r="J4" t="s">
        <v>6</v>
      </c>
    </row>
    <row r="5" spans="1:13" x14ac:dyDescent="0.25">
      <c r="A5" s="4" t="s">
        <v>1</v>
      </c>
      <c r="B5" s="5"/>
      <c r="C5" s="6" t="s">
        <v>3</v>
      </c>
      <c r="H5" s="17">
        <f>H4+$I$2</f>
        <v>3.1415926535897934E-2</v>
      </c>
      <c r="I5" s="18">
        <f t="shared" ref="I5:I68" si="0">ROUND(SIN(H5)*$L$2+$L$1,0)</f>
        <v>2110</v>
      </c>
      <c r="J5" t="s">
        <v>6</v>
      </c>
    </row>
    <row r="6" spans="1:13" x14ac:dyDescent="0.25">
      <c r="A6" s="4">
        <v>0.99399999999999999</v>
      </c>
      <c r="B6" s="5"/>
      <c r="C6" s="6">
        <f>0.994*COS(B3)</f>
        <v>0.95392146588028093</v>
      </c>
      <c r="D6" s="27" t="s">
        <v>42</v>
      </c>
      <c r="E6" s="28"/>
      <c r="F6" s="28"/>
      <c r="G6" s="29"/>
      <c r="H6" s="17">
        <f t="shared" ref="H6:H69" si="1">H5+$I$2</f>
        <v>4.7123889803846901E-2</v>
      </c>
      <c r="I6" s="18">
        <f t="shared" si="0"/>
        <v>2126</v>
      </c>
      <c r="J6" t="s">
        <v>6</v>
      </c>
    </row>
    <row r="7" spans="1:13" x14ac:dyDescent="0.25">
      <c r="A7" s="4" t="s">
        <v>2</v>
      </c>
      <c r="B7" s="5"/>
      <c r="C7" s="5"/>
      <c r="D7" s="35" t="s">
        <v>12</v>
      </c>
      <c r="E7" s="35"/>
      <c r="F7" s="35"/>
      <c r="G7" s="36"/>
      <c r="H7" s="17">
        <f t="shared" si="1"/>
        <v>6.2831853071795868E-2</v>
      </c>
      <c r="I7" s="18">
        <f t="shared" si="0"/>
        <v>2142</v>
      </c>
      <c r="J7" t="s">
        <v>6</v>
      </c>
    </row>
    <row r="8" spans="1:13" x14ac:dyDescent="0.25">
      <c r="A8" s="4">
        <v>1.1479999999999999</v>
      </c>
      <c r="B8" s="5"/>
      <c r="C8" s="5"/>
      <c r="D8" s="35"/>
      <c r="E8" s="35"/>
      <c r="F8" s="35"/>
      <c r="G8" s="36"/>
      <c r="H8" s="17">
        <f t="shared" si="1"/>
        <v>7.8539816339744828E-2</v>
      </c>
      <c r="I8" s="18">
        <f t="shared" si="0"/>
        <v>2158</v>
      </c>
      <c r="J8" t="s">
        <v>6</v>
      </c>
    </row>
    <row r="9" spans="1:13" ht="15.75" thickBot="1" x14ac:dyDescent="0.3">
      <c r="A9" s="4"/>
      <c r="B9" s="5"/>
      <c r="C9" s="5"/>
      <c r="D9" s="33" t="s">
        <v>7</v>
      </c>
      <c r="E9" s="33"/>
      <c r="F9" s="33"/>
      <c r="G9" s="34"/>
      <c r="H9" s="17">
        <f t="shared" si="1"/>
        <v>9.4247779607693788E-2</v>
      </c>
      <c r="I9" s="18">
        <f t="shared" si="0"/>
        <v>2174</v>
      </c>
      <c r="J9" t="s">
        <v>6</v>
      </c>
    </row>
    <row r="10" spans="1:13" ht="16.5" thickTop="1" thickBot="1" x14ac:dyDescent="0.3">
      <c r="A10" s="4"/>
      <c r="B10" s="5"/>
      <c r="C10" s="5"/>
      <c r="D10" s="11" t="s">
        <v>20</v>
      </c>
      <c r="E10" s="11" t="s">
        <v>21</v>
      </c>
      <c r="F10" s="25"/>
      <c r="G10" s="13" t="s">
        <v>22</v>
      </c>
      <c r="H10" s="17">
        <f t="shared" si="1"/>
        <v>0.10995574287564275</v>
      </c>
      <c r="I10" s="18">
        <f t="shared" si="0"/>
        <v>2190</v>
      </c>
      <c r="J10" t="s">
        <v>6</v>
      </c>
    </row>
    <row r="11" spans="1:13" ht="16.5" thickTop="1" thickBot="1" x14ac:dyDescent="0.3">
      <c r="A11" s="4" t="s">
        <v>0</v>
      </c>
      <c r="B11" s="5"/>
      <c r="C11" s="5"/>
      <c r="D11" s="11">
        <v>1.5</v>
      </c>
      <c r="E11" s="11">
        <f>1/12000000*(D11+12.5)</f>
        <v>1.1666666666666668E-6</v>
      </c>
      <c r="F11" s="25"/>
      <c r="G11" s="13">
        <f>E11*1000000</f>
        <v>1.1666666666666667</v>
      </c>
      <c r="H11" s="17">
        <f t="shared" si="1"/>
        <v>0.12566370614359171</v>
      </c>
      <c r="I11" s="18">
        <f t="shared" si="0"/>
        <v>2206</v>
      </c>
      <c r="J11" t="s">
        <v>6</v>
      </c>
    </row>
    <row r="12" spans="1:13" ht="16.5" thickTop="1" thickBot="1" x14ac:dyDescent="0.3">
      <c r="A12" s="4">
        <f>RADIANS(33.18)</f>
        <v>0.57910024581171848</v>
      </c>
      <c r="B12" s="5"/>
      <c r="C12" s="5"/>
      <c r="D12" s="11">
        <v>7.5</v>
      </c>
      <c r="E12" s="11">
        <f>1/12000000*(D12+12.5)</f>
        <v>1.6666666666666667E-6</v>
      </c>
      <c r="F12" s="25"/>
      <c r="G12" s="13">
        <f t="shared" ref="G12:G18" si="2">E12*1000000</f>
        <v>1.6666666666666667</v>
      </c>
      <c r="H12" s="17">
        <f t="shared" si="1"/>
        <v>0.14137166941154067</v>
      </c>
      <c r="I12" s="18">
        <f t="shared" si="0"/>
        <v>2222</v>
      </c>
      <c r="J12" t="s">
        <v>6</v>
      </c>
    </row>
    <row r="13" spans="1:13" ht="16.5" thickTop="1" thickBot="1" x14ac:dyDescent="0.3">
      <c r="A13" s="4" t="s">
        <v>1</v>
      </c>
      <c r="B13" s="5" t="s">
        <v>4</v>
      </c>
      <c r="C13" s="5"/>
      <c r="D13" s="11">
        <v>13.5</v>
      </c>
      <c r="E13" s="11">
        <f t="shared" ref="E13:E18" si="3">1/12000000*(D13+12.5)</f>
        <v>2.166666666666667E-6</v>
      </c>
      <c r="F13" s="25"/>
      <c r="G13" s="13">
        <f t="shared" si="2"/>
        <v>2.166666666666667</v>
      </c>
      <c r="H13" s="17">
        <f t="shared" si="1"/>
        <v>0.15707963267948963</v>
      </c>
      <c r="I13" s="18">
        <f t="shared" si="0"/>
        <v>2238</v>
      </c>
      <c r="J13" t="s">
        <v>6</v>
      </c>
    </row>
    <row r="14" spans="1:13" ht="16.5" thickTop="1" thickBot="1" x14ac:dyDescent="0.3">
      <c r="A14" s="4">
        <v>0.29099999999999998</v>
      </c>
      <c r="B14" s="5">
        <f>PI()/2-(A12+ACOS((A18-A14*COS(A12))/A16))</f>
        <v>0.25110222169560625</v>
      </c>
      <c r="C14" s="5"/>
      <c r="D14" s="11">
        <v>28.5</v>
      </c>
      <c r="E14" s="11">
        <f t="shared" si="3"/>
        <v>3.4166666666666668E-6</v>
      </c>
      <c r="F14" s="25"/>
      <c r="G14" s="13">
        <f t="shared" si="2"/>
        <v>3.416666666666667</v>
      </c>
      <c r="H14" s="17">
        <f t="shared" si="1"/>
        <v>0.17278759594743859</v>
      </c>
      <c r="I14" s="18">
        <f t="shared" si="0"/>
        <v>2254</v>
      </c>
      <c r="J14" t="s">
        <v>6</v>
      </c>
    </row>
    <row r="15" spans="1:13" ht="16.5" thickTop="1" thickBot="1" x14ac:dyDescent="0.3">
      <c r="A15" s="4" t="s">
        <v>2</v>
      </c>
      <c r="B15" s="5">
        <f>DEGREES(B14)</f>
        <v>14.387097529516572</v>
      </c>
      <c r="C15" s="5"/>
      <c r="D15" s="11">
        <v>41.5</v>
      </c>
      <c r="E15" s="11">
        <f t="shared" si="3"/>
        <v>4.5000000000000001E-6</v>
      </c>
      <c r="F15" s="25"/>
      <c r="G15" s="13">
        <f t="shared" si="2"/>
        <v>4.5</v>
      </c>
      <c r="H15" s="17">
        <f t="shared" si="1"/>
        <v>0.18849555921538755</v>
      </c>
      <c r="I15" s="18">
        <f t="shared" si="0"/>
        <v>2270</v>
      </c>
      <c r="J15" t="s">
        <v>6</v>
      </c>
    </row>
    <row r="16" spans="1:13" ht="16.5" thickTop="1" thickBot="1" x14ac:dyDescent="0.3">
      <c r="A16" s="4">
        <v>0.23499999999999999</v>
      </c>
      <c r="B16" s="5">
        <f>PI()-B14</f>
        <v>2.8904904318941869</v>
      </c>
      <c r="C16" s="5"/>
      <c r="D16" s="11">
        <v>55.5</v>
      </c>
      <c r="E16" s="11">
        <f t="shared" si="3"/>
        <v>5.6666666666666669E-6</v>
      </c>
      <c r="F16" s="25"/>
      <c r="G16" s="13">
        <f t="shared" si="2"/>
        <v>5.666666666666667</v>
      </c>
      <c r="H16" s="17">
        <f t="shared" si="1"/>
        <v>0.20420352248333651</v>
      </c>
      <c r="I16" s="18">
        <f t="shared" si="0"/>
        <v>2286</v>
      </c>
      <c r="J16" t="s">
        <v>6</v>
      </c>
    </row>
    <row r="17" spans="1:10" ht="16.5" thickTop="1" thickBot="1" x14ac:dyDescent="0.3">
      <c r="A17" s="4" t="s">
        <v>5</v>
      </c>
      <c r="B17" s="5"/>
      <c r="C17" s="5"/>
      <c r="D17" s="11">
        <v>71.5</v>
      </c>
      <c r="E17" s="11">
        <f>1/12000000*(D17+12.5)</f>
        <v>7.0000000000000007E-6</v>
      </c>
      <c r="F17" s="25"/>
      <c r="G17" s="13">
        <f t="shared" si="2"/>
        <v>7.0000000000000009</v>
      </c>
      <c r="H17" s="17">
        <f t="shared" si="1"/>
        <v>0.21991148575128547</v>
      </c>
      <c r="I17" s="18">
        <f t="shared" si="0"/>
        <v>2301</v>
      </c>
      <c r="J17" t="s">
        <v>6</v>
      </c>
    </row>
    <row r="18" spans="1:10" ht="16.5" thickTop="1" thickBot="1" x14ac:dyDescent="0.3">
      <c r="A18" s="4">
        <v>0.41699999999999998</v>
      </c>
      <c r="B18" s="5"/>
      <c r="C18" s="5"/>
      <c r="D18" s="11">
        <v>239.5</v>
      </c>
      <c r="E18" s="11">
        <f t="shared" si="3"/>
        <v>2.1000000000000002E-5</v>
      </c>
      <c r="F18" s="25"/>
      <c r="G18" s="13">
        <f t="shared" si="2"/>
        <v>21.000000000000004</v>
      </c>
      <c r="H18" s="17">
        <f t="shared" si="1"/>
        <v>0.23561944901923443</v>
      </c>
      <c r="I18" s="18">
        <f t="shared" si="0"/>
        <v>2317</v>
      </c>
      <c r="J18" t="s">
        <v>6</v>
      </c>
    </row>
    <row r="19" spans="1:10" ht="15.75" thickTop="1" x14ac:dyDescent="0.25">
      <c r="A19" s="7"/>
      <c r="B19" s="8"/>
      <c r="C19" s="8"/>
      <c r="D19" s="33" t="s">
        <v>11</v>
      </c>
      <c r="E19" s="33"/>
      <c r="F19" s="33"/>
      <c r="G19" s="34"/>
      <c r="H19" s="17">
        <f t="shared" si="1"/>
        <v>0.25132741228718342</v>
      </c>
      <c r="I19" s="18">
        <f t="shared" si="0"/>
        <v>2333</v>
      </c>
      <c r="J19" t="s">
        <v>6</v>
      </c>
    </row>
    <row r="20" spans="1:10" x14ac:dyDescent="0.25">
      <c r="D20" s="11"/>
      <c r="E20" s="11"/>
      <c r="F20" s="11"/>
      <c r="G20" s="13"/>
      <c r="H20" s="17">
        <f t="shared" si="1"/>
        <v>0.2670353755551324</v>
      </c>
      <c r="I20" s="18">
        <f t="shared" si="0"/>
        <v>2348</v>
      </c>
      <c r="J20" t="s">
        <v>6</v>
      </c>
    </row>
    <row r="21" spans="1:10" x14ac:dyDescent="0.25">
      <c r="B21" t="s">
        <v>13</v>
      </c>
      <c r="D21" s="11">
        <v>1.5</v>
      </c>
      <c r="E21" s="11">
        <f t="shared" ref="E21:E28" si="4">1/9000000*(D21+12.5)</f>
        <v>1.5555555555555556E-6</v>
      </c>
      <c r="F21" s="11"/>
      <c r="G21" s="13">
        <f>E21*1000000</f>
        <v>1.5555555555555556</v>
      </c>
      <c r="H21" s="17">
        <f t="shared" si="1"/>
        <v>0.28274333882308139</v>
      </c>
      <c r="I21" s="18">
        <f t="shared" si="0"/>
        <v>2364</v>
      </c>
      <c r="J21" t="s">
        <v>6</v>
      </c>
    </row>
    <row r="22" spans="1:10" x14ac:dyDescent="0.25">
      <c r="B22" t="s">
        <v>17</v>
      </c>
      <c r="D22" s="11">
        <v>7.5</v>
      </c>
      <c r="E22" s="11">
        <f t="shared" si="4"/>
        <v>2.2222222222222221E-6</v>
      </c>
      <c r="F22" s="11"/>
      <c r="G22" s="13">
        <f t="shared" ref="G22:G28" si="5">E22*1000000</f>
        <v>2.2222222222222219</v>
      </c>
      <c r="H22" s="17">
        <f t="shared" si="1"/>
        <v>0.29845130209103038</v>
      </c>
      <c r="I22" s="18">
        <f t="shared" si="0"/>
        <v>2379</v>
      </c>
      <c r="J22" t="s">
        <v>6</v>
      </c>
    </row>
    <row r="23" spans="1:10" x14ac:dyDescent="0.25">
      <c r="B23" t="s">
        <v>18</v>
      </c>
      <c r="D23" s="11">
        <v>13.5</v>
      </c>
      <c r="E23" s="11">
        <f t="shared" si="4"/>
        <v>2.888888888888889E-6</v>
      </c>
      <c r="F23" s="11"/>
      <c r="G23" s="13">
        <f t="shared" si="5"/>
        <v>2.8888888888888888</v>
      </c>
      <c r="H23" s="17">
        <f t="shared" si="1"/>
        <v>0.31415926535897937</v>
      </c>
      <c r="I23" s="18">
        <f t="shared" si="0"/>
        <v>2394</v>
      </c>
      <c r="J23" t="s">
        <v>6</v>
      </c>
    </row>
    <row r="24" spans="1:10" x14ac:dyDescent="0.25">
      <c r="B24" s="9">
        <f>A41*A28*2*PI()</f>
        <v>5.5920349233898321</v>
      </c>
      <c r="D24" s="11">
        <v>28.5</v>
      </c>
      <c r="E24" s="11">
        <f t="shared" si="4"/>
        <v>4.5555555555555552E-6</v>
      </c>
      <c r="F24" s="11"/>
      <c r="G24" s="13">
        <f t="shared" si="5"/>
        <v>4.5555555555555554</v>
      </c>
      <c r="H24" s="17">
        <f t="shared" si="1"/>
        <v>0.32986722862692835</v>
      </c>
      <c r="I24" s="18">
        <f t="shared" si="0"/>
        <v>2410</v>
      </c>
      <c r="J24" t="s">
        <v>6</v>
      </c>
    </row>
    <row r="25" spans="1:10" x14ac:dyDescent="0.25">
      <c r="A25" t="s">
        <v>14</v>
      </c>
      <c r="B25" t="s">
        <v>19</v>
      </c>
      <c r="D25" s="11">
        <v>41.5</v>
      </c>
      <c r="E25" s="11">
        <f t="shared" si="4"/>
        <v>6.0000000000000002E-6</v>
      </c>
      <c r="F25" s="11"/>
      <c r="G25" s="13">
        <f t="shared" si="5"/>
        <v>6</v>
      </c>
      <c r="H25" s="17">
        <f t="shared" si="1"/>
        <v>0.34557519189487734</v>
      </c>
      <c r="I25" s="18">
        <f t="shared" si="0"/>
        <v>2425</v>
      </c>
      <c r="J25" t="s">
        <v>6</v>
      </c>
    </row>
    <row r="26" spans="1:10" x14ac:dyDescent="0.25">
      <c r="A26">
        <v>150</v>
      </c>
      <c r="B26" s="9">
        <f>2/B24</f>
        <v>0.35765155750987715</v>
      </c>
      <c r="D26" s="11">
        <v>55.5</v>
      </c>
      <c r="E26" s="11">
        <f t="shared" si="4"/>
        <v>7.5555555555555553E-6</v>
      </c>
      <c r="F26" s="11"/>
      <c r="G26" s="13">
        <f t="shared" si="5"/>
        <v>7.5555555555555554</v>
      </c>
      <c r="H26" s="17">
        <f t="shared" si="1"/>
        <v>0.36128315516282633</v>
      </c>
      <c r="I26" s="18">
        <f t="shared" si="0"/>
        <v>2440</v>
      </c>
      <c r="J26" t="s">
        <v>6</v>
      </c>
    </row>
    <row r="27" spans="1:10" x14ac:dyDescent="0.25">
      <c r="A27" t="s">
        <v>16</v>
      </c>
      <c r="D27" s="11">
        <v>71.5</v>
      </c>
      <c r="E27" s="11">
        <f t="shared" si="4"/>
        <v>9.3333333333333326E-6</v>
      </c>
      <c r="F27" s="11"/>
      <c r="G27" s="13">
        <f t="shared" si="5"/>
        <v>9.3333333333333321</v>
      </c>
      <c r="H27" s="17">
        <f t="shared" si="1"/>
        <v>0.37699111843077532</v>
      </c>
      <c r="I27" s="18">
        <f t="shared" si="0"/>
        <v>2455</v>
      </c>
      <c r="J27" t="s">
        <v>6</v>
      </c>
    </row>
    <row r="28" spans="1:10" x14ac:dyDescent="0.25">
      <c r="A28">
        <v>89000</v>
      </c>
      <c r="D28" s="11">
        <v>239.5</v>
      </c>
      <c r="E28" s="11">
        <f t="shared" si="4"/>
        <v>2.8E-5</v>
      </c>
      <c r="F28" s="11"/>
      <c r="G28" s="13">
        <f t="shared" si="5"/>
        <v>28</v>
      </c>
      <c r="H28" s="17">
        <f t="shared" si="1"/>
        <v>0.39269908169872431</v>
      </c>
      <c r="I28" s="18">
        <f t="shared" si="0"/>
        <v>2470</v>
      </c>
      <c r="J28" t="s">
        <v>6</v>
      </c>
    </row>
    <row r="29" spans="1:10" ht="15.75" thickBot="1" x14ac:dyDescent="0.3">
      <c r="H29" s="17">
        <f t="shared" si="1"/>
        <v>0.40840704496667329</v>
      </c>
      <c r="I29" s="18">
        <f t="shared" si="0"/>
        <v>2485</v>
      </c>
      <c r="J29" t="s">
        <v>6</v>
      </c>
    </row>
    <row r="30" spans="1:10" ht="16.5" thickTop="1" thickBot="1" x14ac:dyDescent="0.3">
      <c r="B30" t="s">
        <v>29</v>
      </c>
      <c r="C30">
        <v>89</v>
      </c>
      <c r="D30" s="32" t="s">
        <v>31</v>
      </c>
      <c r="E30" s="32"/>
      <c r="F30" s="32"/>
      <c r="G30" s="32"/>
      <c r="H30" s="5">
        <f t="shared" si="1"/>
        <v>0.42411500823462228</v>
      </c>
      <c r="I30" s="18">
        <f t="shared" si="0"/>
        <v>2499</v>
      </c>
      <c r="J30" t="s">
        <v>6</v>
      </c>
    </row>
    <row r="31" spans="1:10" ht="16.5" thickTop="1" thickBot="1" x14ac:dyDescent="0.3">
      <c r="C31" t="s">
        <v>37</v>
      </c>
      <c r="D31" s="32">
        <v>89</v>
      </c>
      <c r="E31" s="32"/>
      <c r="F31" s="32">
        <v>500</v>
      </c>
      <c r="G31" s="32"/>
      <c r="H31" s="5">
        <f t="shared" si="1"/>
        <v>0.43982297150257127</v>
      </c>
      <c r="I31" s="18">
        <f t="shared" si="0"/>
        <v>2514</v>
      </c>
      <c r="J31" t="s">
        <v>6</v>
      </c>
    </row>
    <row r="32" spans="1:10" ht="16.5" thickTop="1" thickBot="1" x14ac:dyDescent="0.3">
      <c r="D32" s="20" t="s">
        <v>28</v>
      </c>
      <c r="E32" s="20" t="s">
        <v>30</v>
      </c>
      <c r="F32" s="20"/>
      <c r="G32" s="20"/>
      <c r="H32" s="5">
        <f t="shared" si="1"/>
        <v>0.45553093477052026</v>
      </c>
      <c r="I32" s="18">
        <f t="shared" si="0"/>
        <v>2528</v>
      </c>
      <c r="J32" t="s">
        <v>6</v>
      </c>
    </row>
    <row r="33" spans="1:10" ht="16.5" thickTop="1" thickBot="1" x14ac:dyDescent="0.3">
      <c r="D33" s="20">
        <f>G11*$C$30*360/1000000</f>
        <v>3.7379999999999997E-2</v>
      </c>
      <c r="E33" s="24">
        <f>D33*5</f>
        <v>0.18689999999999998</v>
      </c>
      <c r="F33" s="20">
        <f>G11*$F$31*360/1000000</f>
        <v>0.21</v>
      </c>
      <c r="G33" s="24">
        <f>F33*5</f>
        <v>1.05</v>
      </c>
      <c r="H33" s="5">
        <f t="shared" si="1"/>
        <v>0.47123889803846924</v>
      </c>
      <c r="I33" s="18">
        <f t="shared" si="0"/>
        <v>2543</v>
      </c>
      <c r="J33" t="s">
        <v>6</v>
      </c>
    </row>
    <row r="34" spans="1:10" ht="16.5" thickTop="1" thickBot="1" x14ac:dyDescent="0.3">
      <c r="D34" s="20">
        <f t="shared" ref="D34:D40" si="6">G12*$C$30*360/1000000</f>
        <v>5.3400000000000003E-2</v>
      </c>
      <c r="E34" s="24">
        <f t="shared" ref="E34:E40" si="7">D34*5</f>
        <v>0.26700000000000002</v>
      </c>
      <c r="F34" s="20">
        <f t="shared" ref="F34:F40" si="8">G12*$F$31*360/1000000</f>
        <v>0.3</v>
      </c>
      <c r="G34" s="20">
        <f t="shared" ref="G34:G40" si="9">F34*5</f>
        <v>1.5</v>
      </c>
      <c r="H34" s="5">
        <f t="shared" si="1"/>
        <v>0.48694686130641823</v>
      </c>
      <c r="I34" s="18">
        <f t="shared" si="0"/>
        <v>2557</v>
      </c>
      <c r="J34" t="s">
        <v>6</v>
      </c>
    </row>
    <row r="35" spans="1:10" ht="16.5" thickTop="1" thickBot="1" x14ac:dyDescent="0.3">
      <c r="D35" s="20">
        <f t="shared" si="6"/>
        <v>6.9420000000000009E-2</v>
      </c>
      <c r="E35" s="24">
        <f t="shared" si="7"/>
        <v>0.34710000000000008</v>
      </c>
      <c r="F35" s="20">
        <f t="shared" si="8"/>
        <v>0.39000000000000007</v>
      </c>
      <c r="G35" s="20">
        <f t="shared" si="9"/>
        <v>1.9500000000000004</v>
      </c>
      <c r="H35" s="5">
        <f t="shared" si="1"/>
        <v>0.50265482457436717</v>
      </c>
      <c r="I35" s="18">
        <f t="shared" si="0"/>
        <v>2571</v>
      </c>
      <c r="J35" t="s">
        <v>6</v>
      </c>
    </row>
    <row r="36" spans="1:10" ht="16.5" thickTop="1" thickBot="1" x14ac:dyDescent="0.3">
      <c r="D36" s="20">
        <f t="shared" si="6"/>
        <v>0.10947000000000001</v>
      </c>
      <c r="E36" s="24">
        <f t="shared" si="7"/>
        <v>0.54735</v>
      </c>
      <c r="F36" s="20">
        <f t="shared" si="8"/>
        <v>0.61499999999999999</v>
      </c>
      <c r="G36" s="20">
        <f t="shared" si="9"/>
        <v>3.0750000000000002</v>
      </c>
      <c r="H36" s="5">
        <f t="shared" si="1"/>
        <v>0.51836278784231615</v>
      </c>
      <c r="I36" s="18">
        <f t="shared" si="0"/>
        <v>2585</v>
      </c>
      <c r="J36" t="s">
        <v>6</v>
      </c>
    </row>
    <row r="37" spans="1:10" ht="16.5" thickTop="1" thickBot="1" x14ac:dyDescent="0.3">
      <c r="D37" s="20">
        <f t="shared" si="6"/>
        <v>0.14418</v>
      </c>
      <c r="E37" s="24">
        <f t="shared" si="7"/>
        <v>0.72089999999999999</v>
      </c>
      <c r="F37" s="20">
        <f t="shared" si="8"/>
        <v>0.81</v>
      </c>
      <c r="G37" s="20">
        <f t="shared" si="9"/>
        <v>4.0500000000000007</v>
      </c>
      <c r="H37" s="5">
        <f t="shared" si="1"/>
        <v>0.53407075111026514</v>
      </c>
      <c r="I37" s="18">
        <f t="shared" si="0"/>
        <v>2599</v>
      </c>
      <c r="J37" t="s">
        <v>6</v>
      </c>
    </row>
    <row r="38" spans="1:10" ht="16.5" thickTop="1" thickBot="1" x14ac:dyDescent="0.3">
      <c r="D38" s="20">
        <f t="shared" si="6"/>
        <v>0.18156</v>
      </c>
      <c r="E38" s="24">
        <f t="shared" si="7"/>
        <v>0.90779999999999994</v>
      </c>
      <c r="F38" s="20">
        <f t="shared" si="8"/>
        <v>1.02</v>
      </c>
      <c r="G38" s="20">
        <f t="shared" si="9"/>
        <v>5.0999999999999996</v>
      </c>
      <c r="H38" s="5">
        <f t="shared" si="1"/>
        <v>0.54977871437821413</v>
      </c>
      <c r="I38" s="18">
        <f t="shared" si="0"/>
        <v>2613</v>
      </c>
      <c r="J38" t="s">
        <v>6</v>
      </c>
    </row>
    <row r="39" spans="1:10" ht="16.5" thickTop="1" thickBot="1" x14ac:dyDescent="0.3">
      <c r="D39" s="20">
        <f t="shared" si="6"/>
        <v>0.22428000000000003</v>
      </c>
      <c r="E39" s="24">
        <f t="shared" si="7"/>
        <v>1.1214000000000002</v>
      </c>
      <c r="F39" s="20">
        <f t="shared" si="8"/>
        <v>1.2600000000000002</v>
      </c>
      <c r="G39" s="20">
        <f t="shared" si="9"/>
        <v>6.3000000000000007</v>
      </c>
      <c r="H39" s="5">
        <f t="shared" si="1"/>
        <v>0.56548667764616312</v>
      </c>
      <c r="I39" s="18">
        <f t="shared" si="0"/>
        <v>2627</v>
      </c>
      <c r="J39" t="s">
        <v>6</v>
      </c>
    </row>
    <row r="40" spans="1:10" ht="16.5" thickTop="1" thickBot="1" x14ac:dyDescent="0.3">
      <c r="A40" t="s">
        <v>15</v>
      </c>
      <c r="D40" s="20">
        <f t="shared" si="6"/>
        <v>0.6728400000000001</v>
      </c>
      <c r="E40" s="21">
        <f t="shared" si="7"/>
        <v>3.3642000000000003</v>
      </c>
      <c r="F40" s="20">
        <f t="shared" si="8"/>
        <v>3.7800000000000002</v>
      </c>
      <c r="G40" s="20">
        <f t="shared" si="9"/>
        <v>18.900000000000002</v>
      </c>
      <c r="H40" s="5">
        <f t="shared" si="1"/>
        <v>0.5811946409141121</v>
      </c>
      <c r="I40" s="18">
        <f t="shared" si="0"/>
        <v>2640</v>
      </c>
      <c r="J40" t="s">
        <v>6</v>
      </c>
    </row>
    <row r="41" spans="1:10" ht="15.75" thickTop="1" x14ac:dyDescent="0.25">
      <c r="A41" s="9">
        <v>1.0000000000000001E-5</v>
      </c>
      <c r="C41">
        <v>5000</v>
      </c>
      <c r="E41" t="s">
        <v>39</v>
      </c>
      <c r="F41" s="30" t="s">
        <v>38</v>
      </c>
      <c r="G41" s="31"/>
      <c r="H41" s="17">
        <f t="shared" si="1"/>
        <v>0.59690260418206109</v>
      </c>
      <c r="I41" s="18">
        <f t="shared" si="0"/>
        <v>2654</v>
      </c>
      <c r="J41" t="s">
        <v>6</v>
      </c>
    </row>
    <row r="42" spans="1:10" x14ac:dyDescent="0.25">
      <c r="E42">
        <v>15</v>
      </c>
      <c r="F42">
        <f>E44*C41*360/1000000</f>
        <v>0.45</v>
      </c>
      <c r="G42" t="s">
        <v>41</v>
      </c>
      <c r="H42" s="17">
        <f t="shared" si="1"/>
        <v>0.61261056745001008</v>
      </c>
      <c r="I42" s="18">
        <f t="shared" si="0"/>
        <v>2667</v>
      </c>
      <c r="J42" t="s">
        <v>6</v>
      </c>
    </row>
    <row r="43" spans="1:10" x14ac:dyDescent="0.25">
      <c r="E43" t="s">
        <v>22</v>
      </c>
      <c r="G43">
        <f>F42*5</f>
        <v>2.25</v>
      </c>
      <c r="H43" s="17">
        <f t="shared" si="1"/>
        <v>0.62831853071795907</v>
      </c>
      <c r="I43" s="18">
        <f t="shared" si="0"/>
        <v>2680</v>
      </c>
      <c r="J43" t="s">
        <v>6</v>
      </c>
    </row>
    <row r="44" spans="1:10" x14ac:dyDescent="0.25">
      <c r="D44" t="s">
        <v>40</v>
      </c>
      <c r="E44">
        <f>1/60*(E42)</f>
        <v>0.25</v>
      </c>
      <c r="H44" s="17">
        <f t="shared" si="1"/>
        <v>0.64402649398590806</v>
      </c>
      <c r="I44" s="18">
        <f t="shared" si="0"/>
        <v>2693</v>
      </c>
      <c r="J44" t="s">
        <v>6</v>
      </c>
    </row>
    <row r="45" spans="1:10" x14ac:dyDescent="0.25">
      <c r="H45" s="17">
        <f t="shared" si="1"/>
        <v>0.65973445725385704</v>
      </c>
      <c r="I45" s="18">
        <f t="shared" si="0"/>
        <v>2706</v>
      </c>
      <c r="J45" t="s">
        <v>6</v>
      </c>
    </row>
    <row r="46" spans="1:10" x14ac:dyDescent="0.25">
      <c r="H46" s="17">
        <f t="shared" si="1"/>
        <v>0.67544242052180603</v>
      </c>
      <c r="I46" s="18">
        <f t="shared" si="0"/>
        <v>2718</v>
      </c>
      <c r="J46" t="s">
        <v>6</v>
      </c>
    </row>
    <row r="47" spans="1:10" x14ac:dyDescent="0.25">
      <c r="H47" s="17">
        <f t="shared" si="1"/>
        <v>0.69115038378975502</v>
      </c>
      <c r="I47" s="18">
        <f t="shared" si="0"/>
        <v>2731</v>
      </c>
      <c r="J47" t="s">
        <v>6</v>
      </c>
    </row>
    <row r="48" spans="1:10" x14ac:dyDescent="0.25">
      <c r="H48" s="17">
        <f t="shared" si="1"/>
        <v>0.70685834705770401</v>
      </c>
      <c r="I48" s="18">
        <f t="shared" si="0"/>
        <v>2743</v>
      </c>
      <c r="J48" t="s">
        <v>6</v>
      </c>
    </row>
    <row r="49" spans="8:10" x14ac:dyDescent="0.25">
      <c r="H49" s="17">
        <f t="shared" si="1"/>
        <v>0.72256631032565299</v>
      </c>
      <c r="I49" s="18">
        <f t="shared" si="0"/>
        <v>2755</v>
      </c>
      <c r="J49" t="s">
        <v>6</v>
      </c>
    </row>
    <row r="50" spans="8:10" x14ac:dyDescent="0.25">
      <c r="H50" s="17">
        <f t="shared" si="1"/>
        <v>0.73827427359360198</v>
      </c>
      <c r="I50" s="18">
        <f t="shared" si="0"/>
        <v>2767</v>
      </c>
      <c r="J50" t="s">
        <v>6</v>
      </c>
    </row>
    <row r="51" spans="8:10" x14ac:dyDescent="0.25">
      <c r="H51" s="17">
        <f t="shared" si="1"/>
        <v>0.75398223686155097</v>
      </c>
      <c r="I51" s="18">
        <f t="shared" si="0"/>
        <v>2779</v>
      </c>
      <c r="J51" t="s">
        <v>6</v>
      </c>
    </row>
    <row r="52" spans="8:10" x14ac:dyDescent="0.25">
      <c r="H52" s="17">
        <f t="shared" si="1"/>
        <v>0.76969020012949996</v>
      </c>
      <c r="I52" s="18">
        <f t="shared" si="0"/>
        <v>2791</v>
      </c>
      <c r="J52" t="s">
        <v>6</v>
      </c>
    </row>
    <row r="53" spans="8:10" x14ac:dyDescent="0.25">
      <c r="H53" s="17">
        <f t="shared" si="1"/>
        <v>0.78539816339744895</v>
      </c>
      <c r="I53" s="18">
        <f t="shared" si="0"/>
        <v>2802</v>
      </c>
      <c r="J53" t="s">
        <v>6</v>
      </c>
    </row>
    <row r="54" spans="8:10" x14ac:dyDescent="0.25">
      <c r="H54" s="17">
        <f t="shared" si="1"/>
        <v>0.80110612666539793</v>
      </c>
      <c r="I54" s="18">
        <f t="shared" si="0"/>
        <v>2813</v>
      </c>
      <c r="J54" t="s">
        <v>6</v>
      </c>
    </row>
    <row r="55" spans="8:10" x14ac:dyDescent="0.25">
      <c r="H55" s="17">
        <f t="shared" si="1"/>
        <v>0.81681408993334692</v>
      </c>
      <c r="I55" s="18">
        <f t="shared" si="0"/>
        <v>2824</v>
      </c>
      <c r="J55" t="s">
        <v>6</v>
      </c>
    </row>
    <row r="56" spans="8:10" x14ac:dyDescent="0.25">
      <c r="H56" s="17">
        <f t="shared" si="1"/>
        <v>0.83252205320129591</v>
      </c>
      <c r="I56" s="18">
        <f t="shared" si="0"/>
        <v>2835</v>
      </c>
      <c r="J56" t="s">
        <v>6</v>
      </c>
    </row>
    <row r="57" spans="8:10" x14ac:dyDescent="0.25">
      <c r="H57" s="17">
        <f t="shared" si="1"/>
        <v>0.8482300164692449</v>
      </c>
      <c r="I57" s="18">
        <f t="shared" si="0"/>
        <v>2846</v>
      </c>
      <c r="J57" t="s">
        <v>6</v>
      </c>
    </row>
    <row r="58" spans="8:10" x14ac:dyDescent="0.25">
      <c r="H58" s="17">
        <f t="shared" si="1"/>
        <v>0.86393797973719388</v>
      </c>
      <c r="I58" s="18">
        <f t="shared" si="0"/>
        <v>2857</v>
      </c>
      <c r="J58" t="s">
        <v>6</v>
      </c>
    </row>
    <row r="59" spans="8:10" x14ac:dyDescent="0.25">
      <c r="H59" s="17">
        <f t="shared" si="1"/>
        <v>0.87964594300514287</v>
      </c>
      <c r="I59" s="18">
        <f t="shared" si="0"/>
        <v>2867</v>
      </c>
      <c r="J59" t="s">
        <v>6</v>
      </c>
    </row>
    <row r="60" spans="8:10" x14ac:dyDescent="0.25">
      <c r="H60" s="17">
        <f t="shared" si="1"/>
        <v>0.89535390627309186</v>
      </c>
      <c r="I60" s="18">
        <f t="shared" si="0"/>
        <v>2877</v>
      </c>
      <c r="J60" t="s">
        <v>6</v>
      </c>
    </row>
    <row r="61" spans="8:10" x14ac:dyDescent="0.25">
      <c r="H61" s="17">
        <f t="shared" si="1"/>
        <v>0.91106186954104085</v>
      </c>
      <c r="I61" s="18">
        <f t="shared" si="0"/>
        <v>2887</v>
      </c>
      <c r="J61" t="s">
        <v>6</v>
      </c>
    </row>
    <row r="62" spans="8:10" x14ac:dyDescent="0.25">
      <c r="H62" s="17">
        <f t="shared" si="1"/>
        <v>0.92676983280898984</v>
      </c>
      <c r="I62" s="18">
        <f t="shared" si="0"/>
        <v>2897</v>
      </c>
      <c r="J62" t="s">
        <v>6</v>
      </c>
    </row>
    <row r="63" spans="8:10" x14ac:dyDescent="0.25">
      <c r="H63" s="17">
        <f t="shared" si="1"/>
        <v>0.94247779607693882</v>
      </c>
      <c r="I63" s="18">
        <f t="shared" si="0"/>
        <v>2906</v>
      </c>
      <c r="J63" t="s">
        <v>6</v>
      </c>
    </row>
    <row r="64" spans="8:10" x14ac:dyDescent="0.25">
      <c r="H64" s="17">
        <f t="shared" si="1"/>
        <v>0.95818575934488781</v>
      </c>
      <c r="I64" s="18">
        <f t="shared" si="0"/>
        <v>2916</v>
      </c>
      <c r="J64" t="s">
        <v>6</v>
      </c>
    </row>
    <row r="65" spans="8:10" x14ac:dyDescent="0.25">
      <c r="H65" s="17">
        <f t="shared" si="1"/>
        <v>0.9738937226128368</v>
      </c>
      <c r="I65" s="18">
        <f t="shared" si="0"/>
        <v>2925</v>
      </c>
      <c r="J65" t="s">
        <v>6</v>
      </c>
    </row>
    <row r="66" spans="8:10" x14ac:dyDescent="0.25">
      <c r="H66" s="17">
        <f t="shared" si="1"/>
        <v>0.98960168588078579</v>
      </c>
      <c r="I66" s="18">
        <f t="shared" si="0"/>
        <v>2934</v>
      </c>
      <c r="J66" t="s">
        <v>6</v>
      </c>
    </row>
    <row r="67" spans="8:10" x14ac:dyDescent="0.25">
      <c r="H67" s="17">
        <f t="shared" si="1"/>
        <v>1.0053096491487348</v>
      </c>
      <c r="I67" s="18">
        <f t="shared" si="0"/>
        <v>2943</v>
      </c>
      <c r="J67" t="s">
        <v>6</v>
      </c>
    </row>
    <row r="68" spans="8:10" x14ac:dyDescent="0.25">
      <c r="H68" s="17">
        <f t="shared" si="1"/>
        <v>1.0210176124166837</v>
      </c>
      <c r="I68" s="18">
        <f t="shared" si="0"/>
        <v>2951</v>
      </c>
      <c r="J68" t="s">
        <v>6</v>
      </c>
    </row>
    <row r="69" spans="8:10" x14ac:dyDescent="0.25">
      <c r="H69" s="17">
        <f t="shared" si="1"/>
        <v>1.0367255756846325</v>
      </c>
      <c r="I69" s="18">
        <f t="shared" ref="I69:I132" si="10">ROUND(SIN(H69)*$L$2+$L$1,0)</f>
        <v>2959</v>
      </c>
      <c r="J69" t="s">
        <v>6</v>
      </c>
    </row>
    <row r="70" spans="8:10" x14ac:dyDescent="0.25">
      <c r="H70" s="17">
        <f t="shared" ref="H70:H133" si="11">H69+$I$2</f>
        <v>1.0524335389525814</v>
      </c>
      <c r="I70" s="18">
        <f t="shared" si="10"/>
        <v>2967</v>
      </c>
      <c r="J70" t="s">
        <v>6</v>
      </c>
    </row>
    <row r="71" spans="8:10" x14ac:dyDescent="0.25">
      <c r="H71" s="17">
        <f t="shared" si="11"/>
        <v>1.0681415022205303</v>
      </c>
      <c r="I71" s="18">
        <f t="shared" si="10"/>
        <v>2975</v>
      </c>
      <c r="J71" t="s">
        <v>6</v>
      </c>
    </row>
    <row r="72" spans="8:10" x14ac:dyDescent="0.25">
      <c r="H72" s="17">
        <f t="shared" si="11"/>
        <v>1.0838494654884792</v>
      </c>
      <c r="I72" s="18">
        <f t="shared" si="10"/>
        <v>2983</v>
      </c>
      <c r="J72" t="s">
        <v>6</v>
      </c>
    </row>
    <row r="73" spans="8:10" x14ac:dyDescent="0.25">
      <c r="H73" s="17">
        <f t="shared" si="11"/>
        <v>1.099557428756428</v>
      </c>
      <c r="I73" s="18">
        <f t="shared" si="10"/>
        <v>2990</v>
      </c>
      <c r="J73" t="s">
        <v>6</v>
      </c>
    </row>
    <row r="74" spans="8:10" x14ac:dyDescent="0.25">
      <c r="H74" s="17">
        <f t="shared" si="11"/>
        <v>1.1152653920243769</v>
      </c>
      <c r="I74" s="18">
        <f t="shared" si="10"/>
        <v>2998</v>
      </c>
      <c r="J74" t="s">
        <v>6</v>
      </c>
    </row>
    <row r="75" spans="8:10" x14ac:dyDescent="0.25">
      <c r="H75" s="17">
        <f t="shared" si="11"/>
        <v>1.1309733552923258</v>
      </c>
      <c r="I75" s="18">
        <f t="shared" si="10"/>
        <v>3005</v>
      </c>
      <c r="J75" t="s">
        <v>6</v>
      </c>
    </row>
    <row r="76" spans="8:10" x14ac:dyDescent="0.25">
      <c r="H76" s="17">
        <f t="shared" si="11"/>
        <v>1.1466813185602747</v>
      </c>
      <c r="I76" s="18">
        <f t="shared" si="10"/>
        <v>3011</v>
      </c>
      <c r="J76" t="s">
        <v>6</v>
      </c>
    </row>
    <row r="77" spans="8:10" x14ac:dyDescent="0.25">
      <c r="H77" s="17">
        <f t="shared" si="11"/>
        <v>1.1623892818282235</v>
      </c>
      <c r="I77" s="18">
        <f t="shared" si="10"/>
        <v>3018</v>
      </c>
      <c r="J77" t="s">
        <v>6</v>
      </c>
    </row>
    <row r="78" spans="8:10" x14ac:dyDescent="0.25">
      <c r="H78" s="17">
        <f t="shared" si="11"/>
        <v>1.1780972450961724</v>
      </c>
      <c r="I78" s="18">
        <f t="shared" si="10"/>
        <v>3024</v>
      </c>
      <c r="J78" t="s">
        <v>6</v>
      </c>
    </row>
    <row r="79" spans="8:10" x14ac:dyDescent="0.25">
      <c r="H79" s="17">
        <f t="shared" si="11"/>
        <v>1.1938052083641213</v>
      </c>
      <c r="I79" s="18">
        <f t="shared" si="10"/>
        <v>3030</v>
      </c>
      <c r="J79" t="s">
        <v>6</v>
      </c>
    </row>
    <row r="80" spans="8:10" x14ac:dyDescent="0.25">
      <c r="H80" s="17">
        <f t="shared" si="11"/>
        <v>1.2095131716320702</v>
      </c>
      <c r="I80" s="18">
        <f t="shared" si="10"/>
        <v>3036</v>
      </c>
      <c r="J80" t="s">
        <v>6</v>
      </c>
    </row>
    <row r="81" spans="8:10" x14ac:dyDescent="0.25">
      <c r="H81" s="17">
        <f t="shared" si="11"/>
        <v>1.225221134900019</v>
      </c>
      <c r="I81" s="18">
        <f t="shared" si="10"/>
        <v>3041</v>
      </c>
      <c r="J81" t="s">
        <v>6</v>
      </c>
    </row>
    <row r="82" spans="8:10" x14ac:dyDescent="0.25">
      <c r="H82" s="17">
        <f t="shared" si="11"/>
        <v>1.2409290981679679</v>
      </c>
      <c r="I82" s="18">
        <f t="shared" si="10"/>
        <v>3047</v>
      </c>
      <c r="J82" t="s">
        <v>6</v>
      </c>
    </row>
    <row r="83" spans="8:10" x14ac:dyDescent="0.25">
      <c r="H83" s="17">
        <f t="shared" si="11"/>
        <v>1.2566370614359168</v>
      </c>
      <c r="I83" s="18">
        <f t="shared" si="10"/>
        <v>3052</v>
      </c>
      <c r="J83" t="s">
        <v>6</v>
      </c>
    </row>
    <row r="84" spans="8:10" x14ac:dyDescent="0.25">
      <c r="H84" s="17">
        <f t="shared" si="11"/>
        <v>1.2723450247038657</v>
      </c>
      <c r="I84" s="18">
        <f t="shared" si="10"/>
        <v>3057</v>
      </c>
      <c r="J84" t="s">
        <v>6</v>
      </c>
    </row>
    <row r="85" spans="8:10" x14ac:dyDescent="0.25">
      <c r="H85" s="17">
        <f t="shared" si="11"/>
        <v>1.2880529879718146</v>
      </c>
      <c r="I85" s="18">
        <f t="shared" si="10"/>
        <v>3061</v>
      </c>
      <c r="J85" t="s">
        <v>6</v>
      </c>
    </row>
    <row r="86" spans="8:10" x14ac:dyDescent="0.25">
      <c r="H86" s="17">
        <f t="shared" si="11"/>
        <v>1.3037609512397634</v>
      </c>
      <c r="I86" s="18">
        <f t="shared" si="10"/>
        <v>3066</v>
      </c>
      <c r="J86" t="s">
        <v>6</v>
      </c>
    </row>
    <row r="87" spans="8:10" x14ac:dyDescent="0.25">
      <c r="H87" s="17">
        <f t="shared" si="11"/>
        <v>1.3194689145077123</v>
      </c>
      <c r="I87" s="18">
        <f t="shared" si="10"/>
        <v>3070</v>
      </c>
      <c r="J87" t="s">
        <v>6</v>
      </c>
    </row>
    <row r="88" spans="8:10" x14ac:dyDescent="0.25">
      <c r="H88" s="17">
        <f t="shared" si="11"/>
        <v>1.3351768777756612</v>
      </c>
      <c r="I88" s="18">
        <f t="shared" si="10"/>
        <v>3074</v>
      </c>
      <c r="J88" t="s">
        <v>6</v>
      </c>
    </row>
    <row r="89" spans="8:10" x14ac:dyDescent="0.25">
      <c r="H89" s="17">
        <f t="shared" si="11"/>
        <v>1.3508848410436101</v>
      </c>
      <c r="I89" s="18">
        <f t="shared" si="10"/>
        <v>3077</v>
      </c>
      <c r="J89" t="s">
        <v>6</v>
      </c>
    </row>
    <row r="90" spans="8:10" x14ac:dyDescent="0.25">
      <c r="H90" s="17">
        <f t="shared" si="11"/>
        <v>1.3665928043115589</v>
      </c>
      <c r="I90" s="18">
        <f t="shared" si="10"/>
        <v>3081</v>
      </c>
      <c r="J90" t="s">
        <v>6</v>
      </c>
    </row>
    <row r="91" spans="8:10" x14ac:dyDescent="0.25">
      <c r="H91" s="17">
        <f t="shared" si="11"/>
        <v>1.3823007675795078</v>
      </c>
      <c r="I91" s="18">
        <f t="shared" si="10"/>
        <v>3084</v>
      </c>
      <c r="J91" t="s">
        <v>6</v>
      </c>
    </row>
    <row r="92" spans="8:10" x14ac:dyDescent="0.25">
      <c r="H92" s="17">
        <f t="shared" si="11"/>
        <v>1.3980087308474567</v>
      </c>
      <c r="I92" s="18">
        <f t="shared" si="10"/>
        <v>3087</v>
      </c>
      <c r="J92" t="s">
        <v>6</v>
      </c>
    </row>
    <row r="93" spans="8:10" x14ac:dyDescent="0.25">
      <c r="H93" s="17">
        <f t="shared" si="11"/>
        <v>1.4137166941154056</v>
      </c>
      <c r="I93" s="18">
        <f t="shared" si="10"/>
        <v>3089</v>
      </c>
      <c r="J93" t="s">
        <v>6</v>
      </c>
    </row>
    <row r="94" spans="8:10" x14ac:dyDescent="0.25">
      <c r="H94" s="17">
        <f t="shared" si="11"/>
        <v>1.4294246573833544</v>
      </c>
      <c r="I94" s="18">
        <f t="shared" si="10"/>
        <v>3092</v>
      </c>
      <c r="J94" t="s">
        <v>6</v>
      </c>
    </row>
    <row r="95" spans="8:10" x14ac:dyDescent="0.25">
      <c r="H95" s="17">
        <f t="shared" si="11"/>
        <v>1.4451326206513033</v>
      </c>
      <c r="I95" s="18">
        <f t="shared" si="10"/>
        <v>3094</v>
      </c>
      <c r="J95" t="s">
        <v>6</v>
      </c>
    </row>
    <row r="96" spans="8:10" x14ac:dyDescent="0.25">
      <c r="H96" s="17">
        <f t="shared" si="11"/>
        <v>1.4608405839192522</v>
      </c>
      <c r="I96" s="18">
        <f t="shared" si="10"/>
        <v>3096</v>
      </c>
      <c r="J96" t="s">
        <v>6</v>
      </c>
    </row>
    <row r="97" spans="8:10" x14ac:dyDescent="0.25">
      <c r="H97" s="17">
        <f t="shared" si="11"/>
        <v>1.4765485471872011</v>
      </c>
      <c r="I97" s="18">
        <f t="shared" si="10"/>
        <v>3097</v>
      </c>
      <c r="J97" t="s">
        <v>6</v>
      </c>
    </row>
    <row r="98" spans="8:10" x14ac:dyDescent="0.25">
      <c r="H98" s="17">
        <f t="shared" si="11"/>
        <v>1.49225651045515</v>
      </c>
      <c r="I98" s="18">
        <f t="shared" si="10"/>
        <v>3099</v>
      </c>
      <c r="J98" t="s">
        <v>6</v>
      </c>
    </row>
    <row r="99" spans="8:10" x14ac:dyDescent="0.25">
      <c r="H99" s="17">
        <f t="shared" si="11"/>
        <v>1.5079644737230988</v>
      </c>
      <c r="I99" s="18">
        <f t="shared" si="10"/>
        <v>3100</v>
      </c>
      <c r="J99" t="s">
        <v>6</v>
      </c>
    </row>
    <row r="100" spans="8:10" x14ac:dyDescent="0.25">
      <c r="H100" s="17">
        <f t="shared" si="11"/>
        <v>1.5236724369910477</v>
      </c>
      <c r="I100" s="18">
        <f t="shared" si="10"/>
        <v>3101</v>
      </c>
      <c r="J100" t="s">
        <v>6</v>
      </c>
    </row>
    <row r="101" spans="8:10" x14ac:dyDescent="0.25">
      <c r="H101" s="17">
        <f t="shared" si="11"/>
        <v>1.5393804002589966</v>
      </c>
      <c r="I101" s="18">
        <f t="shared" si="10"/>
        <v>3101</v>
      </c>
      <c r="J101" t="s">
        <v>6</v>
      </c>
    </row>
    <row r="102" spans="8:10" x14ac:dyDescent="0.25">
      <c r="H102" s="17">
        <f t="shared" si="11"/>
        <v>1.5550883635269455</v>
      </c>
      <c r="I102" s="18">
        <f t="shared" si="10"/>
        <v>3102</v>
      </c>
      <c r="J102" t="s">
        <v>6</v>
      </c>
    </row>
    <row r="103" spans="8:10" x14ac:dyDescent="0.25">
      <c r="H103" s="17">
        <f t="shared" si="11"/>
        <v>1.5707963267948943</v>
      </c>
      <c r="I103" s="18">
        <f t="shared" si="10"/>
        <v>3102</v>
      </c>
      <c r="J103" t="s">
        <v>6</v>
      </c>
    </row>
    <row r="104" spans="8:10" x14ac:dyDescent="0.25">
      <c r="H104" s="17">
        <f t="shared" si="11"/>
        <v>1.5865042900628432</v>
      </c>
      <c r="I104" s="18">
        <f t="shared" si="10"/>
        <v>3102</v>
      </c>
      <c r="J104" t="s">
        <v>6</v>
      </c>
    </row>
    <row r="105" spans="8:10" x14ac:dyDescent="0.25">
      <c r="H105" s="17">
        <f t="shared" si="11"/>
        <v>1.6022122533307921</v>
      </c>
      <c r="I105" s="18">
        <f t="shared" si="10"/>
        <v>3101</v>
      </c>
      <c r="J105" t="s">
        <v>6</v>
      </c>
    </row>
    <row r="106" spans="8:10" x14ac:dyDescent="0.25">
      <c r="H106" s="17">
        <f t="shared" si="11"/>
        <v>1.617920216598741</v>
      </c>
      <c r="I106" s="18">
        <f t="shared" si="10"/>
        <v>3101</v>
      </c>
      <c r="J106" t="s">
        <v>6</v>
      </c>
    </row>
    <row r="107" spans="8:10" x14ac:dyDescent="0.25">
      <c r="H107" s="17">
        <f t="shared" si="11"/>
        <v>1.6336281798666898</v>
      </c>
      <c r="I107" s="18">
        <f t="shared" si="10"/>
        <v>3100</v>
      </c>
      <c r="J107" t="s">
        <v>6</v>
      </c>
    </row>
    <row r="108" spans="8:10" x14ac:dyDescent="0.25">
      <c r="H108" s="17">
        <f t="shared" si="11"/>
        <v>1.6493361431346387</v>
      </c>
      <c r="I108" s="18">
        <f t="shared" si="10"/>
        <v>3099</v>
      </c>
      <c r="J108" t="s">
        <v>6</v>
      </c>
    </row>
    <row r="109" spans="8:10" x14ac:dyDescent="0.25">
      <c r="H109" s="17">
        <f t="shared" si="11"/>
        <v>1.6650441064025876</v>
      </c>
      <c r="I109" s="18">
        <f t="shared" si="10"/>
        <v>3097</v>
      </c>
      <c r="J109" t="s">
        <v>6</v>
      </c>
    </row>
    <row r="110" spans="8:10" x14ac:dyDescent="0.25">
      <c r="H110" s="17">
        <f t="shared" si="11"/>
        <v>1.6807520696705365</v>
      </c>
      <c r="I110" s="18">
        <f t="shared" si="10"/>
        <v>3096</v>
      </c>
      <c r="J110" t="s">
        <v>6</v>
      </c>
    </row>
    <row r="111" spans="8:10" x14ac:dyDescent="0.25">
      <c r="H111" s="17">
        <f t="shared" si="11"/>
        <v>1.6964600329384854</v>
      </c>
      <c r="I111" s="18">
        <f t="shared" si="10"/>
        <v>3094</v>
      </c>
      <c r="J111" t="s">
        <v>6</v>
      </c>
    </row>
    <row r="112" spans="8:10" x14ac:dyDescent="0.25">
      <c r="H112" s="17">
        <f t="shared" si="11"/>
        <v>1.7121679962064342</v>
      </c>
      <c r="I112" s="18">
        <f t="shared" si="10"/>
        <v>3092</v>
      </c>
      <c r="J112" t="s">
        <v>6</v>
      </c>
    </row>
    <row r="113" spans="8:10" x14ac:dyDescent="0.25">
      <c r="H113" s="17">
        <f t="shared" si="11"/>
        <v>1.7278759594743831</v>
      </c>
      <c r="I113" s="18">
        <f t="shared" si="10"/>
        <v>3089</v>
      </c>
      <c r="J113" t="s">
        <v>6</v>
      </c>
    </row>
    <row r="114" spans="8:10" x14ac:dyDescent="0.25">
      <c r="H114" s="17">
        <f t="shared" si="11"/>
        <v>1.743583922742332</v>
      </c>
      <c r="I114" s="18">
        <f t="shared" si="10"/>
        <v>3087</v>
      </c>
      <c r="J114" t="s">
        <v>6</v>
      </c>
    </row>
    <row r="115" spans="8:10" x14ac:dyDescent="0.25">
      <c r="H115" s="17">
        <f t="shared" si="11"/>
        <v>1.7592918860102809</v>
      </c>
      <c r="I115" s="18">
        <f t="shared" si="10"/>
        <v>3084</v>
      </c>
      <c r="J115" t="s">
        <v>6</v>
      </c>
    </row>
    <row r="116" spans="8:10" x14ac:dyDescent="0.25">
      <c r="H116" s="17">
        <f t="shared" si="11"/>
        <v>1.7749998492782297</v>
      </c>
      <c r="I116" s="18">
        <f t="shared" si="10"/>
        <v>3081</v>
      </c>
      <c r="J116" t="s">
        <v>6</v>
      </c>
    </row>
    <row r="117" spans="8:10" x14ac:dyDescent="0.25">
      <c r="H117" s="17">
        <f t="shared" si="11"/>
        <v>1.7907078125461786</v>
      </c>
      <c r="I117" s="18">
        <f t="shared" si="10"/>
        <v>3077</v>
      </c>
      <c r="J117" t="s">
        <v>6</v>
      </c>
    </row>
    <row r="118" spans="8:10" x14ac:dyDescent="0.25">
      <c r="H118" s="17">
        <f t="shared" si="11"/>
        <v>1.8064157758141275</v>
      </c>
      <c r="I118" s="18">
        <f t="shared" si="10"/>
        <v>3074</v>
      </c>
      <c r="J118" t="s">
        <v>6</v>
      </c>
    </row>
    <row r="119" spans="8:10" x14ac:dyDescent="0.25">
      <c r="H119" s="17">
        <f t="shared" si="11"/>
        <v>1.8221237390820764</v>
      </c>
      <c r="I119" s="18">
        <f t="shared" si="10"/>
        <v>3070</v>
      </c>
      <c r="J119" t="s">
        <v>6</v>
      </c>
    </row>
    <row r="120" spans="8:10" x14ac:dyDescent="0.25">
      <c r="H120" s="17">
        <f t="shared" si="11"/>
        <v>1.8378317023500252</v>
      </c>
      <c r="I120" s="18">
        <f t="shared" si="10"/>
        <v>3066</v>
      </c>
      <c r="J120" t="s">
        <v>6</v>
      </c>
    </row>
    <row r="121" spans="8:10" x14ac:dyDescent="0.25">
      <c r="H121" s="17">
        <f t="shared" si="11"/>
        <v>1.8535396656179741</v>
      </c>
      <c r="I121" s="18">
        <f t="shared" si="10"/>
        <v>3061</v>
      </c>
      <c r="J121" t="s">
        <v>6</v>
      </c>
    </row>
    <row r="122" spans="8:10" x14ac:dyDescent="0.25">
      <c r="H122" s="17">
        <f t="shared" si="11"/>
        <v>1.869247628885923</v>
      </c>
      <c r="I122" s="18">
        <f t="shared" si="10"/>
        <v>3057</v>
      </c>
      <c r="J122" t="s">
        <v>6</v>
      </c>
    </row>
    <row r="123" spans="8:10" x14ac:dyDescent="0.25">
      <c r="H123" s="17">
        <f t="shared" si="11"/>
        <v>1.8849555921538719</v>
      </c>
      <c r="I123" s="18">
        <f t="shared" si="10"/>
        <v>3052</v>
      </c>
      <c r="J123" t="s">
        <v>6</v>
      </c>
    </row>
    <row r="124" spans="8:10" x14ac:dyDescent="0.25">
      <c r="H124" s="17">
        <f t="shared" si="11"/>
        <v>1.9006635554218207</v>
      </c>
      <c r="I124" s="18">
        <f t="shared" si="10"/>
        <v>3047</v>
      </c>
      <c r="J124" t="s">
        <v>6</v>
      </c>
    </row>
    <row r="125" spans="8:10" x14ac:dyDescent="0.25">
      <c r="H125" s="17">
        <f t="shared" si="11"/>
        <v>1.9163715186897696</v>
      </c>
      <c r="I125" s="18">
        <f t="shared" si="10"/>
        <v>3041</v>
      </c>
      <c r="J125" t="s">
        <v>6</v>
      </c>
    </row>
    <row r="126" spans="8:10" x14ac:dyDescent="0.25">
      <c r="H126" s="17">
        <f t="shared" si="11"/>
        <v>1.9320794819577185</v>
      </c>
      <c r="I126" s="18">
        <f t="shared" si="10"/>
        <v>3036</v>
      </c>
      <c r="J126" t="s">
        <v>6</v>
      </c>
    </row>
    <row r="127" spans="8:10" x14ac:dyDescent="0.25">
      <c r="H127" s="17">
        <f t="shared" si="11"/>
        <v>1.9477874452256674</v>
      </c>
      <c r="I127" s="18">
        <f t="shared" si="10"/>
        <v>3030</v>
      </c>
      <c r="J127" t="s">
        <v>6</v>
      </c>
    </row>
    <row r="128" spans="8:10" x14ac:dyDescent="0.25">
      <c r="H128" s="17">
        <f t="shared" si="11"/>
        <v>1.9634954084936163</v>
      </c>
      <c r="I128" s="18">
        <f t="shared" si="10"/>
        <v>3024</v>
      </c>
      <c r="J128" t="s">
        <v>6</v>
      </c>
    </row>
    <row r="129" spans="8:10" x14ac:dyDescent="0.25">
      <c r="H129" s="17">
        <f t="shared" si="11"/>
        <v>1.9792033717615651</v>
      </c>
      <c r="I129" s="18">
        <f t="shared" si="10"/>
        <v>3018</v>
      </c>
      <c r="J129" t="s">
        <v>6</v>
      </c>
    </row>
    <row r="130" spans="8:10" x14ac:dyDescent="0.25">
      <c r="H130" s="17">
        <f t="shared" si="11"/>
        <v>1.994911335029514</v>
      </c>
      <c r="I130" s="18">
        <f t="shared" si="10"/>
        <v>3011</v>
      </c>
      <c r="J130" t="s">
        <v>6</v>
      </c>
    </row>
    <row r="131" spans="8:10" x14ac:dyDescent="0.25">
      <c r="H131" s="17">
        <f t="shared" si="11"/>
        <v>2.0106192982974629</v>
      </c>
      <c r="I131" s="18">
        <f t="shared" si="10"/>
        <v>3005</v>
      </c>
      <c r="J131" t="s">
        <v>6</v>
      </c>
    </row>
    <row r="132" spans="8:10" x14ac:dyDescent="0.25">
      <c r="H132" s="17">
        <f t="shared" si="11"/>
        <v>2.0263272615654118</v>
      </c>
      <c r="I132" s="18">
        <f t="shared" si="10"/>
        <v>2998</v>
      </c>
      <c r="J132" t="s">
        <v>6</v>
      </c>
    </row>
    <row r="133" spans="8:10" x14ac:dyDescent="0.25">
      <c r="H133" s="17">
        <f t="shared" si="11"/>
        <v>2.0420352248333606</v>
      </c>
      <c r="I133" s="18">
        <f t="shared" ref="I133:I196" si="12">ROUND(SIN(H133)*$L$2+$L$1,0)</f>
        <v>2990</v>
      </c>
      <c r="J133" t="s">
        <v>6</v>
      </c>
    </row>
    <row r="134" spans="8:10" x14ac:dyDescent="0.25">
      <c r="H134" s="17">
        <f t="shared" ref="H134:H197" si="13">H133+$I$2</f>
        <v>2.0577431881013095</v>
      </c>
      <c r="I134" s="18">
        <f t="shared" si="12"/>
        <v>2983</v>
      </c>
      <c r="J134" t="s">
        <v>6</v>
      </c>
    </row>
    <row r="135" spans="8:10" x14ac:dyDescent="0.25">
      <c r="H135" s="17">
        <f t="shared" si="13"/>
        <v>2.0734511513692584</v>
      </c>
      <c r="I135" s="18">
        <f t="shared" si="12"/>
        <v>2975</v>
      </c>
      <c r="J135" t="s">
        <v>6</v>
      </c>
    </row>
    <row r="136" spans="8:10" x14ac:dyDescent="0.25">
      <c r="H136" s="17">
        <f t="shared" si="13"/>
        <v>2.0891591146372073</v>
      </c>
      <c r="I136" s="18">
        <f t="shared" si="12"/>
        <v>2967</v>
      </c>
      <c r="J136" t="s">
        <v>6</v>
      </c>
    </row>
    <row r="137" spans="8:10" x14ac:dyDescent="0.25">
      <c r="H137" s="17">
        <f t="shared" si="13"/>
        <v>2.1048670779051561</v>
      </c>
      <c r="I137" s="18">
        <f t="shared" si="12"/>
        <v>2959</v>
      </c>
      <c r="J137" t="s">
        <v>6</v>
      </c>
    </row>
    <row r="138" spans="8:10" x14ac:dyDescent="0.25">
      <c r="H138" s="17">
        <f t="shared" si="13"/>
        <v>2.120575041173105</v>
      </c>
      <c r="I138" s="18">
        <f t="shared" si="12"/>
        <v>2951</v>
      </c>
      <c r="J138" t="s">
        <v>6</v>
      </c>
    </row>
    <row r="139" spans="8:10" x14ac:dyDescent="0.25">
      <c r="H139" s="17">
        <f t="shared" si="13"/>
        <v>2.1362830044410539</v>
      </c>
      <c r="I139" s="18">
        <f t="shared" si="12"/>
        <v>2943</v>
      </c>
      <c r="J139" t="s">
        <v>6</v>
      </c>
    </row>
    <row r="140" spans="8:10" x14ac:dyDescent="0.25">
      <c r="H140" s="17">
        <f t="shared" si="13"/>
        <v>2.1519909677090028</v>
      </c>
      <c r="I140" s="18">
        <f t="shared" si="12"/>
        <v>2934</v>
      </c>
      <c r="J140" t="s">
        <v>6</v>
      </c>
    </row>
    <row r="141" spans="8:10" x14ac:dyDescent="0.25">
      <c r="H141" s="17">
        <f t="shared" si="13"/>
        <v>2.1676989309769517</v>
      </c>
      <c r="I141" s="18">
        <f t="shared" si="12"/>
        <v>2925</v>
      </c>
      <c r="J141" t="s">
        <v>6</v>
      </c>
    </row>
    <row r="142" spans="8:10" x14ac:dyDescent="0.25">
      <c r="H142" s="17">
        <f t="shared" si="13"/>
        <v>2.1834068942449005</v>
      </c>
      <c r="I142" s="18">
        <f t="shared" si="12"/>
        <v>2916</v>
      </c>
      <c r="J142" t="s">
        <v>6</v>
      </c>
    </row>
    <row r="143" spans="8:10" x14ac:dyDescent="0.25">
      <c r="H143" s="17">
        <f t="shared" si="13"/>
        <v>2.1991148575128494</v>
      </c>
      <c r="I143" s="18">
        <f t="shared" si="12"/>
        <v>2906</v>
      </c>
      <c r="J143" t="s">
        <v>6</v>
      </c>
    </row>
    <row r="144" spans="8:10" x14ac:dyDescent="0.25">
      <c r="H144" s="17">
        <f t="shared" si="13"/>
        <v>2.2148228207807983</v>
      </c>
      <c r="I144" s="18">
        <f t="shared" si="12"/>
        <v>2897</v>
      </c>
      <c r="J144" t="s">
        <v>6</v>
      </c>
    </row>
    <row r="145" spans="8:10" x14ac:dyDescent="0.25">
      <c r="H145" s="17">
        <f t="shared" si="13"/>
        <v>2.2305307840487472</v>
      </c>
      <c r="I145" s="18">
        <f t="shared" si="12"/>
        <v>2887</v>
      </c>
      <c r="J145" t="s">
        <v>6</v>
      </c>
    </row>
    <row r="146" spans="8:10" x14ac:dyDescent="0.25">
      <c r="H146" s="17">
        <f t="shared" si="13"/>
        <v>2.246238747316696</v>
      </c>
      <c r="I146" s="18">
        <f t="shared" si="12"/>
        <v>2877</v>
      </c>
      <c r="J146" t="s">
        <v>6</v>
      </c>
    </row>
    <row r="147" spans="8:10" x14ac:dyDescent="0.25">
      <c r="H147" s="17">
        <f t="shared" si="13"/>
        <v>2.2619467105846449</v>
      </c>
      <c r="I147" s="18">
        <f t="shared" si="12"/>
        <v>2867</v>
      </c>
      <c r="J147" t="s">
        <v>6</v>
      </c>
    </row>
    <row r="148" spans="8:10" x14ac:dyDescent="0.25">
      <c r="H148" s="17">
        <f t="shared" si="13"/>
        <v>2.2776546738525938</v>
      </c>
      <c r="I148" s="18">
        <f t="shared" si="12"/>
        <v>2857</v>
      </c>
      <c r="J148" t="s">
        <v>6</v>
      </c>
    </row>
    <row r="149" spans="8:10" x14ac:dyDescent="0.25">
      <c r="H149" s="17">
        <f t="shared" si="13"/>
        <v>2.2933626371205427</v>
      </c>
      <c r="I149" s="18">
        <f t="shared" si="12"/>
        <v>2846</v>
      </c>
      <c r="J149" t="s">
        <v>6</v>
      </c>
    </row>
    <row r="150" spans="8:10" x14ac:dyDescent="0.25">
      <c r="H150" s="17">
        <f t="shared" si="13"/>
        <v>2.3090706003884915</v>
      </c>
      <c r="I150" s="18">
        <f t="shared" si="12"/>
        <v>2835</v>
      </c>
      <c r="J150" t="s">
        <v>6</v>
      </c>
    </row>
    <row r="151" spans="8:10" x14ac:dyDescent="0.25">
      <c r="H151" s="17">
        <f t="shared" si="13"/>
        <v>2.3247785636564404</v>
      </c>
      <c r="I151" s="18">
        <f t="shared" si="12"/>
        <v>2824</v>
      </c>
      <c r="J151" t="s">
        <v>6</v>
      </c>
    </row>
    <row r="152" spans="8:10" x14ac:dyDescent="0.25">
      <c r="H152" s="17">
        <f t="shared" si="13"/>
        <v>2.3404865269243893</v>
      </c>
      <c r="I152" s="18">
        <f t="shared" si="12"/>
        <v>2813</v>
      </c>
      <c r="J152" t="s">
        <v>6</v>
      </c>
    </row>
    <row r="153" spans="8:10" x14ac:dyDescent="0.25">
      <c r="H153" s="17">
        <f t="shared" si="13"/>
        <v>2.3561944901923382</v>
      </c>
      <c r="I153" s="18">
        <f t="shared" si="12"/>
        <v>2802</v>
      </c>
      <c r="J153" t="s">
        <v>6</v>
      </c>
    </row>
    <row r="154" spans="8:10" x14ac:dyDescent="0.25">
      <c r="H154" s="17">
        <f t="shared" si="13"/>
        <v>2.3719024534602871</v>
      </c>
      <c r="I154" s="18">
        <f t="shared" si="12"/>
        <v>2791</v>
      </c>
      <c r="J154" t="s">
        <v>6</v>
      </c>
    </row>
    <row r="155" spans="8:10" x14ac:dyDescent="0.25">
      <c r="H155" s="17">
        <f t="shared" si="13"/>
        <v>2.3876104167282359</v>
      </c>
      <c r="I155" s="18">
        <f t="shared" si="12"/>
        <v>2779</v>
      </c>
      <c r="J155" t="s">
        <v>6</v>
      </c>
    </row>
    <row r="156" spans="8:10" x14ac:dyDescent="0.25">
      <c r="H156" s="17">
        <f t="shared" si="13"/>
        <v>2.4033183799961848</v>
      </c>
      <c r="I156" s="18">
        <f t="shared" si="12"/>
        <v>2767</v>
      </c>
      <c r="J156" t="s">
        <v>6</v>
      </c>
    </row>
    <row r="157" spans="8:10" x14ac:dyDescent="0.25">
      <c r="H157" s="17">
        <f t="shared" si="13"/>
        <v>2.4190263432641337</v>
      </c>
      <c r="I157" s="18">
        <f t="shared" si="12"/>
        <v>2755</v>
      </c>
      <c r="J157" t="s">
        <v>6</v>
      </c>
    </row>
    <row r="158" spans="8:10" x14ac:dyDescent="0.25">
      <c r="H158" s="17">
        <f t="shared" si="13"/>
        <v>2.4347343065320826</v>
      </c>
      <c r="I158" s="18">
        <f t="shared" si="12"/>
        <v>2743</v>
      </c>
      <c r="J158" t="s">
        <v>6</v>
      </c>
    </row>
    <row r="159" spans="8:10" x14ac:dyDescent="0.25">
      <c r="H159" s="17">
        <f t="shared" si="13"/>
        <v>2.4504422698000314</v>
      </c>
      <c r="I159" s="18">
        <f t="shared" si="12"/>
        <v>2731</v>
      </c>
      <c r="J159" t="s">
        <v>6</v>
      </c>
    </row>
    <row r="160" spans="8:10" x14ac:dyDescent="0.25">
      <c r="H160" s="17">
        <f t="shared" si="13"/>
        <v>2.4661502330679803</v>
      </c>
      <c r="I160" s="18">
        <f t="shared" si="12"/>
        <v>2718</v>
      </c>
      <c r="J160" t="s">
        <v>6</v>
      </c>
    </row>
    <row r="161" spans="8:10" x14ac:dyDescent="0.25">
      <c r="H161" s="17">
        <f t="shared" si="13"/>
        <v>2.4818581963359292</v>
      </c>
      <c r="I161" s="18">
        <f t="shared" si="12"/>
        <v>2706</v>
      </c>
      <c r="J161" t="s">
        <v>6</v>
      </c>
    </row>
    <row r="162" spans="8:10" x14ac:dyDescent="0.25">
      <c r="H162" s="17">
        <f t="shared" si="13"/>
        <v>2.4975661596038781</v>
      </c>
      <c r="I162" s="18">
        <f t="shared" si="12"/>
        <v>2693</v>
      </c>
      <c r="J162" t="s">
        <v>6</v>
      </c>
    </row>
    <row r="163" spans="8:10" x14ac:dyDescent="0.25">
      <c r="H163" s="17">
        <f t="shared" si="13"/>
        <v>2.5132741228718269</v>
      </c>
      <c r="I163" s="18">
        <f t="shared" si="12"/>
        <v>2680</v>
      </c>
      <c r="J163" t="s">
        <v>6</v>
      </c>
    </row>
    <row r="164" spans="8:10" x14ac:dyDescent="0.25">
      <c r="H164" s="17">
        <f t="shared" si="13"/>
        <v>2.5289820861397758</v>
      </c>
      <c r="I164" s="18">
        <f t="shared" si="12"/>
        <v>2667</v>
      </c>
      <c r="J164" t="s">
        <v>6</v>
      </c>
    </row>
    <row r="165" spans="8:10" x14ac:dyDescent="0.25">
      <c r="H165" s="17">
        <f t="shared" si="13"/>
        <v>2.5446900494077247</v>
      </c>
      <c r="I165" s="18">
        <f t="shared" si="12"/>
        <v>2654</v>
      </c>
      <c r="J165" t="s">
        <v>6</v>
      </c>
    </row>
    <row r="166" spans="8:10" x14ac:dyDescent="0.25">
      <c r="H166" s="17">
        <f t="shared" si="13"/>
        <v>2.5603980126756736</v>
      </c>
      <c r="I166" s="18">
        <f t="shared" si="12"/>
        <v>2640</v>
      </c>
      <c r="J166" t="s">
        <v>6</v>
      </c>
    </row>
    <row r="167" spans="8:10" x14ac:dyDescent="0.25">
      <c r="H167" s="17">
        <f t="shared" si="13"/>
        <v>2.5761059759436225</v>
      </c>
      <c r="I167" s="18">
        <f t="shared" si="12"/>
        <v>2627</v>
      </c>
      <c r="J167" t="s">
        <v>6</v>
      </c>
    </row>
    <row r="168" spans="8:10" x14ac:dyDescent="0.25">
      <c r="H168" s="17">
        <f t="shared" si="13"/>
        <v>2.5918139392115713</v>
      </c>
      <c r="I168" s="18">
        <f t="shared" si="12"/>
        <v>2613</v>
      </c>
      <c r="J168" t="s">
        <v>6</v>
      </c>
    </row>
    <row r="169" spans="8:10" x14ac:dyDescent="0.25">
      <c r="H169" s="17">
        <f t="shared" si="13"/>
        <v>2.6075219024795202</v>
      </c>
      <c r="I169" s="18">
        <f t="shared" si="12"/>
        <v>2599</v>
      </c>
      <c r="J169" t="s">
        <v>6</v>
      </c>
    </row>
    <row r="170" spans="8:10" x14ac:dyDescent="0.25">
      <c r="H170" s="17">
        <f t="shared" si="13"/>
        <v>2.6232298657474691</v>
      </c>
      <c r="I170" s="18">
        <f t="shared" si="12"/>
        <v>2585</v>
      </c>
      <c r="J170" t="s">
        <v>6</v>
      </c>
    </row>
    <row r="171" spans="8:10" x14ac:dyDescent="0.25">
      <c r="H171" s="17">
        <f t="shared" si="13"/>
        <v>2.638937829015418</v>
      </c>
      <c r="I171" s="18">
        <f t="shared" si="12"/>
        <v>2571</v>
      </c>
      <c r="J171" t="s">
        <v>6</v>
      </c>
    </row>
    <row r="172" spans="8:10" x14ac:dyDescent="0.25">
      <c r="H172" s="17">
        <f t="shared" si="13"/>
        <v>2.6546457922833668</v>
      </c>
      <c r="I172" s="18">
        <f t="shared" si="12"/>
        <v>2557</v>
      </c>
      <c r="J172" t="s">
        <v>6</v>
      </c>
    </row>
    <row r="173" spans="8:10" x14ac:dyDescent="0.25">
      <c r="H173" s="17">
        <f t="shared" si="13"/>
        <v>2.6703537555513157</v>
      </c>
      <c r="I173" s="18">
        <f t="shared" si="12"/>
        <v>2543</v>
      </c>
      <c r="J173" t="s">
        <v>6</v>
      </c>
    </row>
    <row r="174" spans="8:10" x14ac:dyDescent="0.25">
      <c r="H174" s="17">
        <f t="shared" si="13"/>
        <v>2.6860617188192646</v>
      </c>
      <c r="I174" s="18">
        <f t="shared" si="12"/>
        <v>2528</v>
      </c>
      <c r="J174" t="s">
        <v>6</v>
      </c>
    </row>
    <row r="175" spans="8:10" x14ac:dyDescent="0.25">
      <c r="H175" s="17">
        <f t="shared" si="13"/>
        <v>2.7017696820872135</v>
      </c>
      <c r="I175" s="18">
        <f t="shared" si="12"/>
        <v>2514</v>
      </c>
      <c r="J175" t="s">
        <v>6</v>
      </c>
    </row>
    <row r="176" spans="8:10" x14ac:dyDescent="0.25">
      <c r="H176" s="17">
        <f t="shared" si="13"/>
        <v>2.7174776453551623</v>
      </c>
      <c r="I176" s="18">
        <f t="shared" si="12"/>
        <v>2499</v>
      </c>
      <c r="J176" t="s">
        <v>6</v>
      </c>
    </row>
    <row r="177" spans="8:10" x14ac:dyDescent="0.25">
      <c r="H177" s="17">
        <f t="shared" si="13"/>
        <v>2.7331856086231112</v>
      </c>
      <c r="I177" s="18">
        <f t="shared" si="12"/>
        <v>2485</v>
      </c>
      <c r="J177" t="s">
        <v>6</v>
      </c>
    </row>
    <row r="178" spans="8:10" x14ac:dyDescent="0.25">
      <c r="H178" s="17">
        <f t="shared" si="13"/>
        <v>2.7488935718910601</v>
      </c>
      <c r="I178" s="18">
        <f t="shared" si="12"/>
        <v>2470</v>
      </c>
      <c r="J178" t="s">
        <v>6</v>
      </c>
    </row>
    <row r="179" spans="8:10" x14ac:dyDescent="0.25">
      <c r="H179" s="17">
        <f t="shared" si="13"/>
        <v>2.764601535159009</v>
      </c>
      <c r="I179" s="18">
        <f t="shared" si="12"/>
        <v>2455</v>
      </c>
      <c r="J179" t="s">
        <v>6</v>
      </c>
    </row>
    <row r="180" spans="8:10" x14ac:dyDescent="0.25">
      <c r="H180" s="17">
        <f t="shared" si="13"/>
        <v>2.7803094984269578</v>
      </c>
      <c r="I180" s="18">
        <f t="shared" si="12"/>
        <v>2440</v>
      </c>
      <c r="J180" t="s">
        <v>6</v>
      </c>
    </row>
    <row r="181" spans="8:10" x14ac:dyDescent="0.25">
      <c r="H181" s="17">
        <f t="shared" si="13"/>
        <v>2.7960174616949067</v>
      </c>
      <c r="I181" s="18">
        <f t="shared" si="12"/>
        <v>2425</v>
      </c>
      <c r="J181" t="s">
        <v>6</v>
      </c>
    </row>
    <row r="182" spans="8:10" x14ac:dyDescent="0.25">
      <c r="H182" s="17">
        <f t="shared" si="13"/>
        <v>2.8117254249628556</v>
      </c>
      <c r="I182" s="18">
        <f t="shared" si="12"/>
        <v>2410</v>
      </c>
      <c r="J182" t="s">
        <v>6</v>
      </c>
    </row>
    <row r="183" spans="8:10" x14ac:dyDescent="0.25">
      <c r="H183" s="17">
        <f t="shared" si="13"/>
        <v>2.8274333882308045</v>
      </c>
      <c r="I183" s="18">
        <f t="shared" si="12"/>
        <v>2394</v>
      </c>
      <c r="J183" t="s">
        <v>6</v>
      </c>
    </row>
    <row r="184" spans="8:10" x14ac:dyDescent="0.25">
      <c r="H184" s="17">
        <f t="shared" si="13"/>
        <v>2.8431413514987534</v>
      </c>
      <c r="I184" s="18">
        <f t="shared" si="12"/>
        <v>2379</v>
      </c>
      <c r="J184" t="s">
        <v>6</v>
      </c>
    </row>
    <row r="185" spans="8:10" x14ac:dyDescent="0.25">
      <c r="H185" s="17">
        <f t="shared" si="13"/>
        <v>2.8588493147667022</v>
      </c>
      <c r="I185" s="18">
        <f t="shared" si="12"/>
        <v>2364</v>
      </c>
      <c r="J185" t="s">
        <v>6</v>
      </c>
    </row>
    <row r="186" spans="8:10" x14ac:dyDescent="0.25">
      <c r="H186" s="17">
        <f t="shared" si="13"/>
        <v>2.8745572780346511</v>
      </c>
      <c r="I186" s="18">
        <f t="shared" si="12"/>
        <v>2348</v>
      </c>
      <c r="J186" t="s">
        <v>6</v>
      </c>
    </row>
    <row r="187" spans="8:10" x14ac:dyDescent="0.25">
      <c r="H187" s="17">
        <f t="shared" si="13"/>
        <v>2.8902652413026</v>
      </c>
      <c r="I187" s="18">
        <f t="shared" si="12"/>
        <v>2333</v>
      </c>
      <c r="J187" t="s">
        <v>6</v>
      </c>
    </row>
    <row r="188" spans="8:10" x14ac:dyDescent="0.25">
      <c r="H188" s="17">
        <f t="shared" si="13"/>
        <v>2.9059732045705489</v>
      </c>
      <c r="I188" s="18">
        <f t="shared" si="12"/>
        <v>2317</v>
      </c>
      <c r="J188" t="s">
        <v>6</v>
      </c>
    </row>
    <row r="189" spans="8:10" x14ac:dyDescent="0.25">
      <c r="H189" s="17">
        <f t="shared" si="13"/>
        <v>2.9216811678384977</v>
      </c>
      <c r="I189" s="18">
        <f t="shared" si="12"/>
        <v>2301</v>
      </c>
      <c r="J189" t="s">
        <v>6</v>
      </c>
    </row>
    <row r="190" spans="8:10" x14ac:dyDescent="0.25">
      <c r="H190" s="17">
        <f t="shared" si="13"/>
        <v>2.9373891311064466</v>
      </c>
      <c r="I190" s="18">
        <f t="shared" si="12"/>
        <v>2286</v>
      </c>
      <c r="J190" t="s">
        <v>6</v>
      </c>
    </row>
    <row r="191" spans="8:10" x14ac:dyDescent="0.25">
      <c r="H191" s="17">
        <f t="shared" si="13"/>
        <v>2.9530970943743955</v>
      </c>
      <c r="I191" s="18">
        <f t="shared" si="12"/>
        <v>2270</v>
      </c>
      <c r="J191" t="s">
        <v>6</v>
      </c>
    </row>
    <row r="192" spans="8:10" x14ac:dyDescent="0.25">
      <c r="H192" s="17">
        <f t="shared" si="13"/>
        <v>2.9688050576423444</v>
      </c>
      <c r="I192" s="18">
        <f t="shared" si="12"/>
        <v>2254</v>
      </c>
      <c r="J192" t="s">
        <v>6</v>
      </c>
    </row>
    <row r="193" spans="8:10" x14ac:dyDescent="0.25">
      <c r="H193" s="17">
        <f t="shared" si="13"/>
        <v>2.9845130209102932</v>
      </c>
      <c r="I193" s="18">
        <f t="shared" si="12"/>
        <v>2238</v>
      </c>
      <c r="J193" t="s">
        <v>6</v>
      </c>
    </row>
    <row r="194" spans="8:10" x14ac:dyDescent="0.25">
      <c r="H194" s="17">
        <f t="shared" si="13"/>
        <v>3.0002209841782421</v>
      </c>
      <c r="I194" s="18">
        <f t="shared" si="12"/>
        <v>2222</v>
      </c>
      <c r="J194" t="s">
        <v>6</v>
      </c>
    </row>
    <row r="195" spans="8:10" x14ac:dyDescent="0.25">
      <c r="H195" s="17">
        <f t="shared" si="13"/>
        <v>3.015928947446191</v>
      </c>
      <c r="I195" s="18">
        <f t="shared" si="12"/>
        <v>2206</v>
      </c>
      <c r="J195" t="s">
        <v>6</v>
      </c>
    </row>
    <row r="196" spans="8:10" x14ac:dyDescent="0.25">
      <c r="H196" s="17">
        <f t="shared" si="13"/>
        <v>3.0316369107141399</v>
      </c>
      <c r="I196" s="18">
        <f t="shared" si="12"/>
        <v>2190</v>
      </c>
      <c r="J196" t="s">
        <v>6</v>
      </c>
    </row>
    <row r="197" spans="8:10" x14ac:dyDescent="0.25">
      <c r="H197" s="17">
        <f t="shared" si="13"/>
        <v>3.0473448739820888</v>
      </c>
      <c r="I197" s="18">
        <f t="shared" ref="I197:I259" si="14">ROUND(SIN(H197)*$L$2+$L$1,0)</f>
        <v>2174</v>
      </c>
      <c r="J197" t="s">
        <v>6</v>
      </c>
    </row>
    <row r="198" spans="8:10" x14ac:dyDescent="0.25">
      <c r="H198" s="17">
        <f t="shared" ref="H198:H261" si="15">H197+$I$2</f>
        <v>3.0630528372500376</v>
      </c>
      <c r="I198" s="18">
        <f t="shared" si="14"/>
        <v>2158</v>
      </c>
      <c r="J198" t="s">
        <v>6</v>
      </c>
    </row>
    <row r="199" spans="8:10" x14ac:dyDescent="0.25">
      <c r="H199" s="17">
        <f t="shared" si="15"/>
        <v>3.0787608005179865</v>
      </c>
      <c r="I199" s="18">
        <f t="shared" si="14"/>
        <v>2142</v>
      </c>
      <c r="J199" t="s">
        <v>6</v>
      </c>
    </row>
    <row r="200" spans="8:10" x14ac:dyDescent="0.25">
      <c r="H200" s="17">
        <f t="shared" si="15"/>
        <v>3.0944687637859354</v>
      </c>
      <c r="I200" s="18">
        <f t="shared" si="14"/>
        <v>2126</v>
      </c>
      <c r="J200" t="s">
        <v>6</v>
      </c>
    </row>
    <row r="201" spans="8:10" x14ac:dyDescent="0.25">
      <c r="H201" s="17">
        <f t="shared" si="15"/>
        <v>3.1101767270538843</v>
      </c>
      <c r="I201" s="18">
        <f t="shared" si="14"/>
        <v>2110</v>
      </c>
      <c r="J201" t="s">
        <v>6</v>
      </c>
    </row>
    <row r="202" spans="8:10" x14ac:dyDescent="0.25">
      <c r="H202" s="17">
        <f t="shared" si="15"/>
        <v>3.1258846903218331</v>
      </c>
      <c r="I202" s="18">
        <f t="shared" si="14"/>
        <v>2094</v>
      </c>
      <c r="J202" t="s">
        <v>6</v>
      </c>
    </row>
    <row r="203" spans="8:10" x14ac:dyDescent="0.25">
      <c r="H203" s="17">
        <f t="shared" si="15"/>
        <v>3.141592653589782</v>
      </c>
      <c r="I203" s="18">
        <f t="shared" si="14"/>
        <v>2078</v>
      </c>
      <c r="J203" t="s">
        <v>6</v>
      </c>
    </row>
    <row r="204" spans="8:10" x14ac:dyDescent="0.25">
      <c r="H204" s="17">
        <f t="shared" si="15"/>
        <v>3.1573006168577309</v>
      </c>
      <c r="I204" s="18">
        <f t="shared" si="14"/>
        <v>2062</v>
      </c>
      <c r="J204" t="s">
        <v>6</v>
      </c>
    </row>
    <row r="205" spans="8:10" x14ac:dyDescent="0.25">
      <c r="H205" s="17">
        <f t="shared" si="15"/>
        <v>3.1730085801256798</v>
      </c>
      <c r="I205" s="18">
        <f t="shared" si="14"/>
        <v>2046</v>
      </c>
      <c r="J205" t="s">
        <v>6</v>
      </c>
    </row>
    <row r="206" spans="8:10" x14ac:dyDescent="0.25">
      <c r="H206" s="17">
        <f t="shared" si="15"/>
        <v>3.1887165433936286</v>
      </c>
      <c r="I206" s="18">
        <f t="shared" si="14"/>
        <v>2030</v>
      </c>
      <c r="J206" t="s">
        <v>6</v>
      </c>
    </row>
    <row r="207" spans="8:10" x14ac:dyDescent="0.25">
      <c r="H207" s="17">
        <f t="shared" si="15"/>
        <v>3.2044245066615775</v>
      </c>
      <c r="I207" s="18">
        <f t="shared" si="14"/>
        <v>2014</v>
      </c>
      <c r="J207" t="s">
        <v>6</v>
      </c>
    </row>
    <row r="208" spans="8:10" x14ac:dyDescent="0.25">
      <c r="H208" s="17">
        <f t="shared" si="15"/>
        <v>3.2201324699295264</v>
      </c>
      <c r="I208" s="18">
        <f t="shared" si="14"/>
        <v>1998</v>
      </c>
      <c r="J208" t="s">
        <v>6</v>
      </c>
    </row>
    <row r="209" spans="8:10" x14ac:dyDescent="0.25">
      <c r="H209" s="17">
        <f t="shared" si="15"/>
        <v>3.2358404331974753</v>
      </c>
      <c r="I209" s="18">
        <f t="shared" si="14"/>
        <v>1982</v>
      </c>
      <c r="J209" t="s">
        <v>6</v>
      </c>
    </row>
    <row r="210" spans="8:10" x14ac:dyDescent="0.25">
      <c r="H210" s="17">
        <f t="shared" si="15"/>
        <v>3.2515483964654242</v>
      </c>
      <c r="I210" s="18">
        <f t="shared" si="14"/>
        <v>1966</v>
      </c>
      <c r="J210" t="s">
        <v>6</v>
      </c>
    </row>
    <row r="211" spans="8:10" x14ac:dyDescent="0.25">
      <c r="H211" s="17">
        <f t="shared" si="15"/>
        <v>3.267256359733373</v>
      </c>
      <c r="I211" s="18">
        <f t="shared" si="14"/>
        <v>1950</v>
      </c>
      <c r="J211" t="s">
        <v>6</v>
      </c>
    </row>
    <row r="212" spans="8:10" x14ac:dyDescent="0.25">
      <c r="H212" s="17">
        <f t="shared" si="15"/>
        <v>3.2829643230013219</v>
      </c>
      <c r="I212" s="18">
        <f t="shared" si="14"/>
        <v>1934</v>
      </c>
      <c r="J212" t="s">
        <v>6</v>
      </c>
    </row>
    <row r="213" spans="8:10" x14ac:dyDescent="0.25">
      <c r="H213" s="17">
        <f t="shared" si="15"/>
        <v>3.2986722862692708</v>
      </c>
      <c r="I213" s="18">
        <f t="shared" si="14"/>
        <v>1918</v>
      </c>
      <c r="J213" t="s">
        <v>6</v>
      </c>
    </row>
    <row r="214" spans="8:10" x14ac:dyDescent="0.25">
      <c r="H214" s="17">
        <f t="shared" si="15"/>
        <v>3.3143802495372197</v>
      </c>
      <c r="I214" s="18">
        <f t="shared" si="14"/>
        <v>1902</v>
      </c>
      <c r="J214" t="s">
        <v>6</v>
      </c>
    </row>
    <row r="215" spans="8:10" x14ac:dyDescent="0.25">
      <c r="H215" s="17">
        <f t="shared" si="15"/>
        <v>3.3300882128051685</v>
      </c>
      <c r="I215" s="18">
        <f t="shared" si="14"/>
        <v>1886</v>
      </c>
      <c r="J215" t="s">
        <v>6</v>
      </c>
    </row>
    <row r="216" spans="8:10" x14ac:dyDescent="0.25">
      <c r="H216" s="17">
        <f t="shared" si="15"/>
        <v>3.3457961760731174</v>
      </c>
      <c r="I216" s="18">
        <f t="shared" si="14"/>
        <v>1870</v>
      </c>
      <c r="J216" t="s">
        <v>6</v>
      </c>
    </row>
    <row r="217" spans="8:10" x14ac:dyDescent="0.25">
      <c r="H217" s="17">
        <f t="shared" si="15"/>
        <v>3.3615041393410663</v>
      </c>
      <c r="I217" s="18">
        <f t="shared" si="14"/>
        <v>1855</v>
      </c>
      <c r="J217" t="s">
        <v>6</v>
      </c>
    </row>
    <row r="218" spans="8:10" x14ac:dyDescent="0.25">
      <c r="H218" s="17">
        <f t="shared" si="15"/>
        <v>3.3772121026090152</v>
      </c>
      <c r="I218" s="18">
        <f t="shared" si="14"/>
        <v>1839</v>
      </c>
      <c r="J218" t="s">
        <v>6</v>
      </c>
    </row>
    <row r="219" spans="8:10" x14ac:dyDescent="0.25">
      <c r="H219" s="17">
        <f t="shared" si="15"/>
        <v>3.392920065876964</v>
      </c>
      <c r="I219" s="18">
        <f t="shared" si="14"/>
        <v>1823</v>
      </c>
      <c r="J219" t="s">
        <v>6</v>
      </c>
    </row>
    <row r="220" spans="8:10" x14ac:dyDescent="0.25">
      <c r="H220" s="17">
        <f t="shared" si="15"/>
        <v>3.4086280291449129</v>
      </c>
      <c r="I220" s="18">
        <f t="shared" si="14"/>
        <v>1808</v>
      </c>
      <c r="J220" t="s">
        <v>6</v>
      </c>
    </row>
    <row r="221" spans="8:10" x14ac:dyDescent="0.25">
      <c r="H221" s="17">
        <f t="shared" si="15"/>
        <v>3.4243359924128618</v>
      </c>
      <c r="I221" s="18">
        <f t="shared" si="14"/>
        <v>1792</v>
      </c>
      <c r="J221" t="s">
        <v>6</v>
      </c>
    </row>
    <row r="222" spans="8:10" x14ac:dyDescent="0.25">
      <c r="H222" s="17">
        <f t="shared" si="15"/>
        <v>3.4400439556808107</v>
      </c>
      <c r="I222" s="18">
        <f t="shared" si="14"/>
        <v>1777</v>
      </c>
      <c r="J222" t="s">
        <v>6</v>
      </c>
    </row>
    <row r="223" spans="8:10" x14ac:dyDescent="0.25">
      <c r="H223" s="17">
        <f t="shared" si="15"/>
        <v>3.4557519189487595</v>
      </c>
      <c r="I223" s="18">
        <f t="shared" si="14"/>
        <v>1762</v>
      </c>
      <c r="J223" t="s">
        <v>6</v>
      </c>
    </row>
    <row r="224" spans="8:10" x14ac:dyDescent="0.25">
      <c r="H224" s="17">
        <f t="shared" si="15"/>
        <v>3.4714598822167084</v>
      </c>
      <c r="I224" s="18">
        <f t="shared" si="14"/>
        <v>1746</v>
      </c>
      <c r="J224" t="s">
        <v>6</v>
      </c>
    </row>
    <row r="225" spans="8:10" x14ac:dyDescent="0.25">
      <c r="H225" s="17">
        <f t="shared" si="15"/>
        <v>3.4871678454846573</v>
      </c>
      <c r="I225" s="18">
        <f t="shared" si="14"/>
        <v>1731</v>
      </c>
      <c r="J225" t="s">
        <v>6</v>
      </c>
    </row>
    <row r="226" spans="8:10" x14ac:dyDescent="0.25">
      <c r="H226" s="17">
        <f t="shared" si="15"/>
        <v>3.5028758087526062</v>
      </c>
      <c r="I226" s="18">
        <f t="shared" si="14"/>
        <v>1716</v>
      </c>
      <c r="J226" t="s">
        <v>6</v>
      </c>
    </row>
    <row r="227" spans="8:10" x14ac:dyDescent="0.25">
      <c r="H227" s="17">
        <f t="shared" si="15"/>
        <v>3.5185837720205551</v>
      </c>
      <c r="I227" s="18">
        <f t="shared" si="14"/>
        <v>1701</v>
      </c>
      <c r="J227" t="s">
        <v>6</v>
      </c>
    </row>
    <row r="228" spans="8:10" x14ac:dyDescent="0.25">
      <c r="H228" s="17">
        <f t="shared" si="15"/>
        <v>3.5342917352885039</v>
      </c>
      <c r="I228" s="18">
        <f t="shared" si="14"/>
        <v>1686</v>
      </c>
      <c r="J228" t="s">
        <v>6</v>
      </c>
    </row>
    <row r="229" spans="8:10" x14ac:dyDescent="0.25">
      <c r="H229" s="17">
        <f t="shared" si="15"/>
        <v>3.5499996985564528</v>
      </c>
      <c r="I229" s="18">
        <f t="shared" si="14"/>
        <v>1671</v>
      </c>
      <c r="J229" t="s">
        <v>6</v>
      </c>
    </row>
    <row r="230" spans="8:10" x14ac:dyDescent="0.25">
      <c r="H230" s="17">
        <f t="shared" si="15"/>
        <v>3.5657076618244017</v>
      </c>
      <c r="I230" s="18">
        <f t="shared" si="14"/>
        <v>1657</v>
      </c>
      <c r="J230" t="s">
        <v>6</v>
      </c>
    </row>
    <row r="231" spans="8:10" x14ac:dyDescent="0.25">
      <c r="H231" s="17">
        <f t="shared" si="15"/>
        <v>3.5814156250923506</v>
      </c>
      <c r="I231" s="18">
        <f t="shared" si="14"/>
        <v>1642</v>
      </c>
      <c r="J231" t="s">
        <v>6</v>
      </c>
    </row>
    <row r="232" spans="8:10" x14ac:dyDescent="0.25">
      <c r="H232" s="17">
        <f t="shared" si="15"/>
        <v>3.5971235883602994</v>
      </c>
      <c r="I232" s="18">
        <f t="shared" si="14"/>
        <v>1628</v>
      </c>
      <c r="J232" t="s">
        <v>6</v>
      </c>
    </row>
    <row r="233" spans="8:10" x14ac:dyDescent="0.25">
      <c r="H233" s="17">
        <f t="shared" si="15"/>
        <v>3.6128315516282483</v>
      </c>
      <c r="I233" s="18">
        <f t="shared" si="14"/>
        <v>1613</v>
      </c>
      <c r="J233" t="s">
        <v>6</v>
      </c>
    </row>
    <row r="234" spans="8:10" x14ac:dyDescent="0.25">
      <c r="H234" s="17">
        <f t="shared" si="15"/>
        <v>3.6285395148961972</v>
      </c>
      <c r="I234" s="18">
        <f t="shared" si="14"/>
        <v>1599</v>
      </c>
      <c r="J234" t="s">
        <v>6</v>
      </c>
    </row>
    <row r="235" spans="8:10" x14ac:dyDescent="0.25">
      <c r="H235" s="17">
        <f t="shared" si="15"/>
        <v>3.6442474781641461</v>
      </c>
      <c r="I235" s="18">
        <f t="shared" si="14"/>
        <v>1585</v>
      </c>
      <c r="J235" t="s">
        <v>6</v>
      </c>
    </row>
    <row r="236" spans="8:10" x14ac:dyDescent="0.25">
      <c r="H236" s="17">
        <f t="shared" si="15"/>
        <v>3.6599554414320949</v>
      </c>
      <c r="I236" s="18">
        <f t="shared" si="14"/>
        <v>1571</v>
      </c>
      <c r="J236" t="s">
        <v>6</v>
      </c>
    </row>
    <row r="237" spans="8:10" x14ac:dyDescent="0.25">
      <c r="H237" s="17">
        <f t="shared" si="15"/>
        <v>3.6756634047000438</v>
      </c>
      <c r="I237" s="18">
        <f t="shared" si="14"/>
        <v>1557</v>
      </c>
      <c r="J237" t="s">
        <v>6</v>
      </c>
    </row>
    <row r="238" spans="8:10" x14ac:dyDescent="0.25">
      <c r="H238" s="17">
        <f t="shared" si="15"/>
        <v>3.6913713679679927</v>
      </c>
      <c r="I238" s="18">
        <f t="shared" si="14"/>
        <v>1543</v>
      </c>
      <c r="J238" t="s">
        <v>6</v>
      </c>
    </row>
    <row r="239" spans="8:10" x14ac:dyDescent="0.25">
      <c r="H239" s="17">
        <f t="shared" si="15"/>
        <v>3.7070793312359416</v>
      </c>
      <c r="I239" s="18">
        <f t="shared" si="14"/>
        <v>1529</v>
      </c>
      <c r="J239" t="s">
        <v>6</v>
      </c>
    </row>
    <row r="240" spans="8:10" x14ac:dyDescent="0.25">
      <c r="H240" s="17">
        <f t="shared" si="15"/>
        <v>3.7227872945038905</v>
      </c>
      <c r="I240" s="18">
        <f t="shared" si="14"/>
        <v>1516</v>
      </c>
      <c r="J240" t="s">
        <v>6</v>
      </c>
    </row>
    <row r="241" spans="8:10" x14ac:dyDescent="0.25">
      <c r="H241" s="17">
        <f t="shared" si="15"/>
        <v>3.7384952577718393</v>
      </c>
      <c r="I241" s="18">
        <f t="shared" si="14"/>
        <v>1502</v>
      </c>
      <c r="J241" t="s">
        <v>6</v>
      </c>
    </row>
    <row r="242" spans="8:10" x14ac:dyDescent="0.25">
      <c r="H242" s="17">
        <f t="shared" si="15"/>
        <v>3.7542032210397882</v>
      </c>
      <c r="I242" s="18">
        <f t="shared" si="14"/>
        <v>1489</v>
      </c>
      <c r="J242" t="s">
        <v>6</v>
      </c>
    </row>
    <row r="243" spans="8:10" x14ac:dyDescent="0.25">
      <c r="H243" s="17">
        <f t="shared" si="15"/>
        <v>3.7699111843077371</v>
      </c>
      <c r="I243" s="18">
        <f t="shared" si="14"/>
        <v>1476</v>
      </c>
      <c r="J243" t="s">
        <v>6</v>
      </c>
    </row>
    <row r="244" spans="8:10" x14ac:dyDescent="0.25">
      <c r="H244" s="17">
        <f t="shared" si="15"/>
        <v>3.785619147575686</v>
      </c>
      <c r="I244" s="18">
        <f t="shared" si="14"/>
        <v>1463</v>
      </c>
      <c r="J244" t="s">
        <v>6</v>
      </c>
    </row>
    <row r="245" spans="8:10" x14ac:dyDescent="0.25">
      <c r="H245" s="17">
        <f t="shared" si="15"/>
        <v>3.8013271108436348</v>
      </c>
      <c r="I245" s="18">
        <f t="shared" si="14"/>
        <v>1450</v>
      </c>
      <c r="J245" t="s">
        <v>6</v>
      </c>
    </row>
    <row r="246" spans="8:10" x14ac:dyDescent="0.25">
      <c r="H246" s="17">
        <f t="shared" si="15"/>
        <v>3.8170350741115837</v>
      </c>
      <c r="I246" s="18">
        <f t="shared" si="14"/>
        <v>1438</v>
      </c>
      <c r="J246" t="s">
        <v>6</v>
      </c>
    </row>
    <row r="247" spans="8:10" x14ac:dyDescent="0.25">
      <c r="H247" s="17">
        <f t="shared" si="15"/>
        <v>3.8327430373795326</v>
      </c>
      <c r="I247" s="18">
        <f t="shared" si="14"/>
        <v>1425</v>
      </c>
      <c r="J247" t="s">
        <v>6</v>
      </c>
    </row>
    <row r="248" spans="8:10" x14ac:dyDescent="0.25">
      <c r="H248" s="17">
        <f t="shared" si="15"/>
        <v>3.8484510006474815</v>
      </c>
      <c r="I248" s="18">
        <f t="shared" si="14"/>
        <v>1413</v>
      </c>
      <c r="J248" t="s">
        <v>6</v>
      </c>
    </row>
    <row r="249" spans="8:10" x14ac:dyDescent="0.25">
      <c r="H249" s="17">
        <f t="shared" si="15"/>
        <v>3.8641589639154303</v>
      </c>
      <c r="I249" s="18">
        <f t="shared" si="14"/>
        <v>1401</v>
      </c>
      <c r="J249" t="s">
        <v>6</v>
      </c>
    </row>
    <row r="250" spans="8:10" x14ac:dyDescent="0.25">
      <c r="H250" s="17">
        <f t="shared" si="15"/>
        <v>3.8798669271833792</v>
      </c>
      <c r="I250" s="18">
        <f t="shared" si="14"/>
        <v>1389</v>
      </c>
      <c r="J250" t="s">
        <v>6</v>
      </c>
    </row>
    <row r="251" spans="8:10" x14ac:dyDescent="0.25">
      <c r="H251" s="17">
        <f t="shared" si="15"/>
        <v>3.8955748904513281</v>
      </c>
      <c r="I251" s="18">
        <f t="shared" si="14"/>
        <v>1377</v>
      </c>
      <c r="J251" t="s">
        <v>6</v>
      </c>
    </row>
    <row r="252" spans="8:10" x14ac:dyDescent="0.25">
      <c r="H252" s="17">
        <f t="shared" si="15"/>
        <v>3.911282853719277</v>
      </c>
      <c r="I252" s="18">
        <f t="shared" si="14"/>
        <v>1365</v>
      </c>
      <c r="J252" t="s">
        <v>6</v>
      </c>
    </row>
    <row r="253" spans="8:10" x14ac:dyDescent="0.25">
      <c r="H253" s="17">
        <f t="shared" si="15"/>
        <v>3.9269908169872259</v>
      </c>
      <c r="I253" s="18">
        <f t="shared" si="14"/>
        <v>1354</v>
      </c>
      <c r="J253" t="s">
        <v>6</v>
      </c>
    </row>
    <row r="254" spans="8:10" x14ac:dyDescent="0.25">
      <c r="H254" s="17">
        <f t="shared" si="15"/>
        <v>3.9426987802551747</v>
      </c>
      <c r="I254" s="18">
        <f t="shared" si="14"/>
        <v>1343</v>
      </c>
      <c r="J254" t="s">
        <v>6</v>
      </c>
    </row>
    <row r="255" spans="8:10" x14ac:dyDescent="0.25">
      <c r="H255" s="17">
        <f t="shared" si="15"/>
        <v>3.9584067435231236</v>
      </c>
      <c r="I255" s="18">
        <f t="shared" si="14"/>
        <v>1332</v>
      </c>
      <c r="J255" t="s">
        <v>6</v>
      </c>
    </row>
    <row r="256" spans="8:10" x14ac:dyDescent="0.25">
      <c r="H256" s="17">
        <f t="shared" si="15"/>
        <v>3.9741147067910725</v>
      </c>
      <c r="I256" s="18">
        <f t="shared" si="14"/>
        <v>1321</v>
      </c>
      <c r="J256" t="s">
        <v>6</v>
      </c>
    </row>
    <row r="257" spans="8:10" x14ac:dyDescent="0.25">
      <c r="H257" s="17">
        <f t="shared" si="15"/>
        <v>3.9898226700590214</v>
      </c>
      <c r="I257" s="18">
        <f t="shared" si="14"/>
        <v>1310</v>
      </c>
      <c r="J257" t="s">
        <v>6</v>
      </c>
    </row>
    <row r="258" spans="8:10" x14ac:dyDescent="0.25">
      <c r="H258" s="17">
        <f t="shared" si="15"/>
        <v>4.0055306333269707</v>
      </c>
      <c r="I258" s="18">
        <f t="shared" si="14"/>
        <v>1299</v>
      </c>
      <c r="J258" t="s">
        <v>6</v>
      </c>
    </row>
    <row r="259" spans="8:10" x14ac:dyDescent="0.25">
      <c r="H259" s="17">
        <f t="shared" si="15"/>
        <v>4.0212385965949196</v>
      </c>
      <c r="I259" s="18">
        <f t="shared" ref="I259:I322" si="16">ROUND(SIN(H259)*$L$2+$L$1,0)</f>
        <v>1289</v>
      </c>
      <c r="J259" t="s">
        <v>6</v>
      </c>
    </row>
    <row r="260" spans="8:10" x14ac:dyDescent="0.25">
      <c r="H260" s="17">
        <f t="shared" si="15"/>
        <v>4.0369465598628684</v>
      </c>
      <c r="I260" s="18">
        <f t="shared" si="16"/>
        <v>1279</v>
      </c>
      <c r="J260" t="s">
        <v>6</v>
      </c>
    </row>
    <row r="261" spans="8:10" x14ac:dyDescent="0.25">
      <c r="H261" s="17">
        <f t="shared" si="15"/>
        <v>4.0526545231308173</v>
      </c>
      <c r="I261" s="18">
        <f t="shared" si="16"/>
        <v>1269</v>
      </c>
      <c r="J261" t="s">
        <v>6</v>
      </c>
    </row>
    <row r="262" spans="8:10" x14ac:dyDescent="0.25">
      <c r="H262" s="17">
        <f t="shared" ref="H262:H325" si="17">H261+$I$2</f>
        <v>4.0683624863987662</v>
      </c>
      <c r="I262" s="18">
        <f t="shared" si="16"/>
        <v>1259</v>
      </c>
      <c r="J262" t="s">
        <v>6</v>
      </c>
    </row>
    <row r="263" spans="8:10" x14ac:dyDescent="0.25">
      <c r="H263" s="17">
        <f t="shared" si="17"/>
        <v>4.0840704496667151</v>
      </c>
      <c r="I263" s="18">
        <f t="shared" si="16"/>
        <v>1250</v>
      </c>
      <c r="J263" t="s">
        <v>6</v>
      </c>
    </row>
    <row r="264" spans="8:10" x14ac:dyDescent="0.25">
      <c r="H264" s="17">
        <f t="shared" si="17"/>
        <v>4.0997784129346639</v>
      </c>
      <c r="I264" s="18">
        <f t="shared" si="16"/>
        <v>1240</v>
      </c>
      <c r="J264" t="s">
        <v>6</v>
      </c>
    </row>
    <row r="265" spans="8:10" x14ac:dyDescent="0.25">
      <c r="H265" s="17">
        <f t="shared" si="17"/>
        <v>4.1154863762026128</v>
      </c>
      <c r="I265" s="18">
        <f t="shared" si="16"/>
        <v>1231</v>
      </c>
      <c r="J265" t="s">
        <v>6</v>
      </c>
    </row>
    <row r="266" spans="8:10" x14ac:dyDescent="0.25">
      <c r="H266" s="17">
        <f t="shared" si="17"/>
        <v>4.1311943394705617</v>
      </c>
      <c r="I266" s="18">
        <f t="shared" si="16"/>
        <v>1222</v>
      </c>
      <c r="J266" t="s">
        <v>6</v>
      </c>
    </row>
    <row r="267" spans="8:10" x14ac:dyDescent="0.25">
      <c r="H267" s="17">
        <f t="shared" si="17"/>
        <v>4.1469023027385106</v>
      </c>
      <c r="I267" s="18">
        <f t="shared" si="16"/>
        <v>1213</v>
      </c>
      <c r="J267" t="s">
        <v>6</v>
      </c>
    </row>
    <row r="268" spans="8:10" x14ac:dyDescent="0.25">
      <c r="H268" s="17">
        <f t="shared" si="17"/>
        <v>4.1626102660064594</v>
      </c>
      <c r="I268" s="18">
        <f t="shared" si="16"/>
        <v>1205</v>
      </c>
      <c r="J268" t="s">
        <v>6</v>
      </c>
    </row>
    <row r="269" spans="8:10" x14ac:dyDescent="0.25">
      <c r="H269" s="17">
        <f t="shared" si="17"/>
        <v>4.1783182292744083</v>
      </c>
      <c r="I269" s="18">
        <f t="shared" si="16"/>
        <v>1197</v>
      </c>
      <c r="J269" t="s">
        <v>6</v>
      </c>
    </row>
    <row r="270" spans="8:10" x14ac:dyDescent="0.25">
      <c r="H270" s="17">
        <f t="shared" si="17"/>
        <v>4.1940261925423572</v>
      </c>
      <c r="I270" s="18">
        <f t="shared" si="16"/>
        <v>1189</v>
      </c>
      <c r="J270" t="s">
        <v>6</v>
      </c>
    </row>
    <row r="271" spans="8:10" x14ac:dyDescent="0.25">
      <c r="H271" s="17">
        <f t="shared" si="17"/>
        <v>4.2097341558103061</v>
      </c>
      <c r="I271" s="18">
        <f t="shared" si="16"/>
        <v>1181</v>
      </c>
      <c r="J271" t="s">
        <v>6</v>
      </c>
    </row>
    <row r="272" spans="8:10" x14ac:dyDescent="0.25">
      <c r="H272" s="17">
        <f t="shared" si="17"/>
        <v>4.225442119078255</v>
      </c>
      <c r="I272" s="18">
        <f t="shared" si="16"/>
        <v>1173</v>
      </c>
      <c r="J272" t="s">
        <v>6</v>
      </c>
    </row>
    <row r="273" spans="8:10" x14ac:dyDescent="0.25">
      <c r="H273" s="17">
        <f t="shared" si="17"/>
        <v>4.2411500823462038</v>
      </c>
      <c r="I273" s="18">
        <f t="shared" si="16"/>
        <v>1166</v>
      </c>
      <c r="J273" t="s">
        <v>6</v>
      </c>
    </row>
    <row r="274" spans="8:10" x14ac:dyDescent="0.25">
      <c r="H274" s="17">
        <f t="shared" si="17"/>
        <v>4.2568580456141527</v>
      </c>
      <c r="I274" s="18">
        <f t="shared" si="16"/>
        <v>1158</v>
      </c>
      <c r="J274" t="s">
        <v>6</v>
      </c>
    </row>
    <row r="275" spans="8:10" x14ac:dyDescent="0.25">
      <c r="H275" s="17">
        <f t="shared" si="17"/>
        <v>4.2725660088821016</v>
      </c>
      <c r="I275" s="18">
        <f t="shared" si="16"/>
        <v>1151</v>
      </c>
      <c r="J275" t="s">
        <v>6</v>
      </c>
    </row>
    <row r="276" spans="8:10" x14ac:dyDescent="0.25">
      <c r="H276" s="17">
        <f t="shared" si="17"/>
        <v>4.2882739721500505</v>
      </c>
      <c r="I276" s="18">
        <f t="shared" si="16"/>
        <v>1145</v>
      </c>
      <c r="J276" t="s">
        <v>6</v>
      </c>
    </row>
    <row r="277" spans="8:10" x14ac:dyDescent="0.25">
      <c r="H277" s="17">
        <f t="shared" si="17"/>
        <v>4.3039819354179993</v>
      </c>
      <c r="I277" s="18">
        <f t="shared" si="16"/>
        <v>1138</v>
      </c>
      <c r="J277" t="s">
        <v>6</v>
      </c>
    </row>
    <row r="278" spans="8:10" x14ac:dyDescent="0.25">
      <c r="H278" s="17">
        <f t="shared" si="17"/>
        <v>4.3196898986859482</v>
      </c>
      <c r="I278" s="18">
        <f t="shared" si="16"/>
        <v>1132</v>
      </c>
      <c r="J278" t="s">
        <v>6</v>
      </c>
    </row>
    <row r="279" spans="8:10" x14ac:dyDescent="0.25">
      <c r="H279" s="17">
        <f t="shared" si="17"/>
        <v>4.3353978619538971</v>
      </c>
      <c r="I279" s="18">
        <f t="shared" si="16"/>
        <v>1126</v>
      </c>
      <c r="J279" t="s">
        <v>6</v>
      </c>
    </row>
    <row r="280" spans="8:10" x14ac:dyDescent="0.25">
      <c r="H280" s="17">
        <f t="shared" si="17"/>
        <v>4.351105825221846</v>
      </c>
      <c r="I280" s="18">
        <f t="shared" si="16"/>
        <v>1120</v>
      </c>
      <c r="J280" t="s">
        <v>6</v>
      </c>
    </row>
    <row r="281" spans="8:10" x14ac:dyDescent="0.25">
      <c r="H281" s="17">
        <f t="shared" si="17"/>
        <v>4.3668137884897948</v>
      </c>
      <c r="I281" s="18">
        <f t="shared" si="16"/>
        <v>1115</v>
      </c>
      <c r="J281" t="s">
        <v>6</v>
      </c>
    </row>
    <row r="282" spans="8:10" x14ac:dyDescent="0.25">
      <c r="H282" s="17">
        <f t="shared" si="17"/>
        <v>4.3825217517577437</v>
      </c>
      <c r="I282" s="18">
        <f t="shared" si="16"/>
        <v>1109</v>
      </c>
      <c r="J282" t="s">
        <v>6</v>
      </c>
    </row>
    <row r="283" spans="8:10" x14ac:dyDescent="0.25">
      <c r="H283" s="17">
        <f t="shared" si="17"/>
        <v>4.3982297150256926</v>
      </c>
      <c r="I283" s="18">
        <f t="shared" si="16"/>
        <v>1104</v>
      </c>
      <c r="J283" t="s">
        <v>6</v>
      </c>
    </row>
    <row r="284" spans="8:10" x14ac:dyDescent="0.25">
      <c r="H284" s="17">
        <f t="shared" si="17"/>
        <v>4.4139376782936415</v>
      </c>
      <c r="I284" s="18">
        <f t="shared" si="16"/>
        <v>1099</v>
      </c>
      <c r="J284" t="s">
        <v>6</v>
      </c>
    </row>
    <row r="285" spans="8:10" x14ac:dyDescent="0.25">
      <c r="H285" s="17">
        <f t="shared" si="17"/>
        <v>4.4296456415615904</v>
      </c>
      <c r="I285" s="18">
        <f t="shared" si="16"/>
        <v>1095</v>
      </c>
      <c r="J285" t="s">
        <v>6</v>
      </c>
    </row>
    <row r="286" spans="8:10" x14ac:dyDescent="0.25">
      <c r="H286" s="17">
        <f t="shared" si="17"/>
        <v>4.4453536048295392</v>
      </c>
      <c r="I286" s="18">
        <f t="shared" si="16"/>
        <v>1090</v>
      </c>
      <c r="J286" t="s">
        <v>6</v>
      </c>
    </row>
    <row r="287" spans="8:10" x14ac:dyDescent="0.25">
      <c r="H287" s="17">
        <f t="shared" si="17"/>
        <v>4.4610615680974881</v>
      </c>
      <c r="I287" s="18">
        <f t="shared" si="16"/>
        <v>1086</v>
      </c>
      <c r="J287" t="s">
        <v>6</v>
      </c>
    </row>
    <row r="288" spans="8:10" x14ac:dyDescent="0.25">
      <c r="H288" s="17">
        <f t="shared" si="17"/>
        <v>4.476769531365437</v>
      </c>
      <c r="I288" s="18">
        <f t="shared" si="16"/>
        <v>1082</v>
      </c>
      <c r="J288" t="s">
        <v>6</v>
      </c>
    </row>
    <row r="289" spans="8:10" x14ac:dyDescent="0.25">
      <c r="H289" s="17">
        <f t="shared" si="17"/>
        <v>4.4924774946333859</v>
      </c>
      <c r="I289" s="18">
        <f t="shared" si="16"/>
        <v>1079</v>
      </c>
      <c r="J289" t="s">
        <v>6</v>
      </c>
    </row>
    <row r="290" spans="8:10" x14ac:dyDescent="0.25">
      <c r="H290" s="17">
        <f t="shared" si="17"/>
        <v>4.5081854579013347</v>
      </c>
      <c r="I290" s="18">
        <f t="shared" si="16"/>
        <v>1075</v>
      </c>
      <c r="J290" t="s">
        <v>6</v>
      </c>
    </row>
    <row r="291" spans="8:10" x14ac:dyDescent="0.25">
      <c r="H291" s="17">
        <f t="shared" si="17"/>
        <v>4.5238934211692836</v>
      </c>
      <c r="I291" s="18">
        <f t="shared" si="16"/>
        <v>1072</v>
      </c>
      <c r="J291" t="s">
        <v>6</v>
      </c>
    </row>
    <row r="292" spans="8:10" x14ac:dyDescent="0.25">
      <c r="H292" s="17">
        <f t="shared" si="17"/>
        <v>4.5396013844372325</v>
      </c>
      <c r="I292" s="18">
        <f t="shared" si="16"/>
        <v>1069</v>
      </c>
      <c r="J292" t="s">
        <v>6</v>
      </c>
    </row>
    <row r="293" spans="8:10" x14ac:dyDescent="0.25">
      <c r="H293" s="17">
        <f t="shared" si="17"/>
        <v>4.5553093477051814</v>
      </c>
      <c r="I293" s="18">
        <f t="shared" si="16"/>
        <v>1067</v>
      </c>
      <c r="J293" t="s">
        <v>6</v>
      </c>
    </row>
    <row r="294" spans="8:10" x14ac:dyDescent="0.25">
      <c r="H294" s="17">
        <f t="shared" si="17"/>
        <v>4.5710173109731302</v>
      </c>
      <c r="I294" s="18">
        <f t="shared" si="16"/>
        <v>1064</v>
      </c>
      <c r="J294" t="s">
        <v>6</v>
      </c>
    </row>
    <row r="295" spans="8:10" x14ac:dyDescent="0.25">
      <c r="H295" s="17">
        <f t="shared" si="17"/>
        <v>4.5867252742410791</v>
      </c>
      <c r="I295" s="18">
        <f t="shared" si="16"/>
        <v>1062</v>
      </c>
      <c r="J295" t="s">
        <v>6</v>
      </c>
    </row>
    <row r="296" spans="8:10" x14ac:dyDescent="0.25">
      <c r="H296" s="17">
        <f t="shared" si="17"/>
        <v>4.602433237509028</v>
      </c>
      <c r="I296" s="18">
        <f t="shared" si="16"/>
        <v>1060</v>
      </c>
      <c r="J296" t="s">
        <v>6</v>
      </c>
    </row>
    <row r="297" spans="8:10" x14ac:dyDescent="0.25">
      <c r="H297" s="17">
        <f t="shared" si="17"/>
        <v>4.6181412007769769</v>
      </c>
      <c r="I297" s="18">
        <f t="shared" si="16"/>
        <v>1059</v>
      </c>
      <c r="J297" t="s">
        <v>6</v>
      </c>
    </row>
    <row r="298" spans="8:10" x14ac:dyDescent="0.25">
      <c r="H298" s="17">
        <f t="shared" si="17"/>
        <v>4.6338491640449258</v>
      </c>
      <c r="I298" s="18">
        <f t="shared" si="16"/>
        <v>1057</v>
      </c>
      <c r="J298" t="s">
        <v>6</v>
      </c>
    </row>
    <row r="299" spans="8:10" x14ac:dyDescent="0.25">
      <c r="H299" s="17">
        <f t="shared" si="17"/>
        <v>4.6495571273128746</v>
      </c>
      <c r="I299" s="18">
        <f t="shared" si="16"/>
        <v>1056</v>
      </c>
      <c r="J299" t="s">
        <v>6</v>
      </c>
    </row>
    <row r="300" spans="8:10" x14ac:dyDescent="0.25">
      <c r="H300" s="17">
        <f t="shared" si="17"/>
        <v>4.6652650905808235</v>
      </c>
      <c r="I300" s="18">
        <f t="shared" si="16"/>
        <v>1055</v>
      </c>
      <c r="J300" t="s">
        <v>6</v>
      </c>
    </row>
    <row r="301" spans="8:10" x14ac:dyDescent="0.25">
      <c r="H301" s="17">
        <f t="shared" si="17"/>
        <v>4.6809730538487724</v>
      </c>
      <c r="I301" s="18">
        <f t="shared" si="16"/>
        <v>1055</v>
      </c>
      <c r="J301" t="s">
        <v>6</v>
      </c>
    </row>
    <row r="302" spans="8:10" x14ac:dyDescent="0.25">
      <c r="H302" s="17">
        <f t="shared" si="17"/>
        <v>4.6966810171167213</v>
      </c>
      <c r="I302" s="18">
        <f t="shared" si="16"/>
        <v>1054</v>
      </c>
      <c r="J302" t="s">
        <v>6</v>
      </c>
    </row>
    <row r="303" spans="8:10" x14ac:dyDescent="0.25">
      <c r="H303" s="17">
        <f t="shared" si="17"/>
        <v>4.7123889803846701</v>
      </c>
      <c r="I303" s="18">
        <f t="shared" si="16"/>
        <v>1054</v>
      </c>
      <c r="J303" t="s">
        <v>6</v>
      </c>
    </row>
    <row r="304" spans="8:10" x14ac:dyDescent="0.25">
      <c r="H304" s="17">
        <f t="shared" si="17"/>
        <v>4.728096943652619</v>
      </c>
      <c r="I304" s="18">
        <f t="shared" si="16"/>
        <v>1054</v>
      </c>
      <c r="J304" t="s">
        <v>6</v>
      </c>
    </row>
    <row r="305" spans="8:10" x14ac:dyDescent="0.25">
      <c r="H305" s="17">
        <f t="shared" si="17"/>
        <v>4.7438049069205679</v>
      </c>
      <c r="I305" s="18">
        <f t="shared" si="16"/>
        <v>1055</v>
      </c>
      <c r="J305" t="s">
        <v>6</v>
      </c>
    </row>
    <row r="306" spans="8:10" x14ac:dyDescent="0.25">
      <c r="H306" s="17">
        <f t="shared" si="17"/>
        <v>4.7595128701885168</v>
      </c>
      <c r="I306" s="18">
        <f t="shared" si="16"/>
        <v>1055</v>
      </c>
      <c r="J306" t="s">
        <v>6</v>
      </c>
    </row>
    <row r="307" spans="8:10" x14ac:dyDescent="0.25">
      <c r="H307" s="17">
        <f t="shared" si="17"/>
        <v>4.7752208334564656</v>
      </c>
      <c r="I307" s="18">
        <f t="shared" si="16"/>
        <v>1056</v>
      </c>
      <c r="J307" t="s">
        <v>6</v>
      </c>
    </row>
    <row r="308" spans="8:10" x14ac:dyDescent="0.25">
      <c r="H308" s="17">
        <f t="shared" si="17"/>
        <v>4.7909287967244145</v>
      </c>
      <c r="I308" s="18">
        <f t="shared" si="16"/>
        <v>1057</v>
      </c>
      <c r="J308" t="s">
        <v>6</v>
      </c>
    </row>
    <row r="309" spans="8:10" x14ac:dyDescent="0.25">
      <c r="H309" s="17">
        <f t="shared" si="17"/>
        <v>4.8066367599923634</v>
      </c>
      <c r="I309" s="18">
        <f t="shared" si="16"/>
        <v>1059</v>
      </c>
      <c r="J309" t="s">
        <v>6</v>
      </c>
    </row>
    <row r="310" spans="8:10" x14ac:dyDescent="0.25">
      <c r="H310" s="17">
        <f t="shared" si="17"/>
        <v>4.8223447232603123</v>
      </c>
      <c r="I310" s="18">
        <f t="shared" si="16"/>
        <v>1060</v>
      </c>
      <c r="J310" t="s">
        <v>6</v>
      </c>
    </row>
    <row r="311" spans="8:10" x14ac:dyDescent="0.25">
      <c r="H311" s="17">
        <f t="shared" si="17"/>
        <v>4.8380526865282611</v>
      </c>
      <c r="I311" s="18">
        <f t="shared" si="16"/>
        <v>1062</v>
      </c>
      <c r="J311" t="s">
        <v>6</v>
      </c>
    </row>
    <row r="312" spans="8:10" x14ac:dyDescent="0.25">
      <c r="H312" s="17">
        <f t="shared" si="17"/>
        <v>4.85376064979621</v>
      </c>
      <c r="I312" s="18">
        <f t="shared" si="16"/>
        <v>1064</v>
      </c>
      <c r="J312" t="s">
        <v>6</v>
      </c>
    </row>
    <row r="313" spans="8:10" x14ac:dyDescent="0.25">
      <c r="H313" s="17">
        <f t="shared" si="17"/>
        <v>4.8694686130641589</v>
      </c>
      <c r="I313" s="18">
        <f t="shared" si="16"/>
        <v>1067</v>
      </c>
      <c r="J313" t="s">
        <v>6</v>
      </c>
    </row>
    <row r="314" spans="8:10" x14ac:dyDescent="0.25">
      <c r="H314" s="17">
        <f t="shared" si="17"/>
        <v>4.8851765763321078</v>
      </c>
      <c r="I314" s="18">
        <f t="shared" si="16"/>
        <v>1069</v>
      </c>
      <c r="J314" t="s">
        <v>6</v>
      </c>
    </row>
    <row r="315" spans="8:10" x14ac:dyDescent="0.25">
      <c r="H315" s="17">
        <f t="shared" si="17"/>
        <v>4.9008845396000567</v>
      </c>
      <c r="I315" s="18">
        <f t="shared" si="16"/>
        <v>1072</v>
      </c>
      <c r="J315" t="s">
        <v>6</v>
      </c>
    </row>
    <row r="316" spans="8:10" x14ac:dyDescent="0.25">
      <c r="H316" s="17">
        <f t="shared" si="17"/>
        <v>4.9165925028680055</v>
      </c>
      <c r="I316" s="18">
        <f t="shared" si="16"/>
        <v>1075</v>
      </c>
      <c r="J316" t="s">
        <v>6</v>
      </c>
    </row>
    <row r="317" spans="8:10" x14ac:dyDescent="0.25">
      <c r="H317" s="17">
        <f t="shared" si="17"/>
        <v>4.9323004661359544</v>
      </c>
      <c r="I317" s="18">
        <f t="shared" si="16"/>
        <v>1079</v>
      </c>
      <c r="J317" t="s">
        <v>6</v>
      </c>
    </row>
    <row r="318" spans="8:10" x14ac:dyDescent="0.25">
      <c r="H318" s="17">
        <f t="shared" si="17"/>
        <v>4.9480084294039033</v>
      </c>
      <c r="I318" s="18">
        <f t="shared" si="16"/>
        <v>1082</v>
      </c>
      <c r="J318" t="s">
        <v>6</v>
      </c>
    </row>
    <row r="319" spans="8:10" x14ac:dyDescent="0.25">
      <c r="H319" s="17">
        <f t="shared" si="17"/>
        <v>4.9637163926718522</v>
      </c>
      <c r="I319" s="18">
        <f t="shared" si="16"/>
        <v>1086</v>
      </c>
      <c r="J319" t="s">
        <v>6</v>
      </c>
    </row>
    <row r="320" spans="8:10" x14ac:dyDescent="0.25">
      <c r="H320" s="17">
        <f t="shared" si="17"/>
        <v>4.979424355939801</v>
      </c>
      <c r="I320" s="18">
        <f t="shared" si="16"/>
        <v>1090</v>
      </c>
      <c r="J320" t="s">
        <v>6</v>
      </c>
    </row>
    <row r="321" spans="8:10" x14ac:dyDescent="0.25">
      <c r="H321" s="17">
        <f t="shared" si="17"/>
        <v>4.9951323192077499</v>
      </c>
      <c r="I321" s="18">
        <f t="shared" si="16"/>
        <v>1095</v>
      </c>
      <c r="J321" t="s">
        <v>6</v>
      </c>
    </row>
    <row r="322" spans="8:10" x14ac:dyDescent="0.25">
      <c r="H322" s="17">
        <f t="shared" si="17"/>
        <v>5.0108402824756988</v>
      </c>
      <c r="I322" s="18">
        <f t="shared" si="16"/>
        <v>1099</v>
      </c>
      <c r="J322" t="s">
        <v>6</v>
      </c>
    </row>
    <row r="323" spans="8:10" x14ac:dyDescent="0.25">
      <c r="H323" s="17">
        <f t="shared" si="17"/>
        <v>5.0265482457436477</v>
      </c>
      <c r="I323" s="18">
        <f t="shared" ref="I323:I386" si="18">ROUND(SIN(H323)*$L$2+$L$1,0)</f>
        <v>1104</v>
      </c>
      <c r="J323" t="s">
        <v>6</v>
      </c>
    </row>
    <row r="324" spans="8:10" x14ac:dyDescent="0.25">
      <c r="H324" s="17">
        <f t="shared" si="17"/>
        <v>5.0422562090115965</v>
      </c>
      <c r="I324" s="18">
        <f t="shared" si="18"/>
        <v>1109</v>
      </c>
      <c r="J324" t="s">
        <v>6</v>
      </c>
    </row>
    <row r="325" spans="8:10" x14ac:dyDescent="0.25">
      <c r="H325" s="17">
        <f t="shared" si="17"/>
        <v>5.0579641722795454</v>
      </c>
      <c r="I325" s="18">
        <f t="shared" si="18"/>
        <v>1115</v>
      </c>
      <c r="J325" t="s">
        <v>6</v>
      </c>
    </row>
    <row r="326" spans="8:10" x14ac:dyDescent="0.25">
      <c r="H326" s="17">
        <f t="shared" ref="H326:H389" si="19">H325+$I$2</f>
        <v>5.0736721355474943</v>
      </c>
      <c r="I326" s="18">
        <f t="shared" si="18"/>
        <v>1120</v>
      </c>
      <c r="J326" t="s">
        <v>6</v>
      </c>
    </row>
    <row r="327" spans="8:10" x14ac:dyDescent="0.25">
      <c r="H327" s="17">
        <f t="shared" si="19"/>
        <v>5.0893800988154432</v>
      </c>
      <c r="I327" s="18">
        <f t="shared" si="18"/>
        <v>1126</v>
      </c>
      <c r="J327" t="s">
        <v>6</v>
      </c>
    </row>
    <row r="328" spans="8:10" x14ac:dyDescent="0.25">
      <c r="H328" s="17">
        <f t="shared" si="19"/>
        <v>5.1050880620833921</v>
      </c>
      <c r="I328" s="18">
        <f t="shared" si="18"/>
        <v>1132</v>
      </c>
      <c r="J328" t="s">
        <v>6</v>
      </c>
    </row>
    <row r="329" spans="8:10" x14ac:dyDescent="0.25">
      <c r="H329" s="17">
        <f t="shared" si="19"/>
        <v>5.1207960253513409</v>
      </c>
      <c r="I329" s="18">
        <f t="shared" si="18"/>
        <v>1138</v>
      </c>
      <c r="J329" t="s">
        <v>6</v>
      </c>
    </row>
    <row r="330" spans="8:10" x14ac:dyDescent="0.25">
      <c r="H330" s="17">
        <f t="shared" si="19"/>
        <v>5.1365039886192898</v>
      </c>
      <c r="I330" s="18">
        <f t="shared" si="18"/>
        <v>1145</v>
      </c>
      <c r="J330" t="s">
        <v>6</v>
      </c>
    </row>
    <row r="331" spans="8:10" x14ac:dyDescent="0.25">
      <c r="H331" s="17">
        <f t="shared" si="19"/>
        <v>5.1522119518872387</v>
      </c>
      <c r="I331" s="18">
        <f t="shared" si="18"/>
        <v>1151</v>
      </c>
      <c r="J331" t="s">
        <v>6</v>
      </c>
    </row>
    <row r="332" spans="8:10" x14ac:dyDescent="0.25">
      <c r="H332" s="17">
        <f t="shared" si="19"/>
        <v>5.1679199151551876</v>
      </c>
      <c r="I332" s="18">
        <f t="shared" si="18"/>
        <v>1158</v>
      </c>
      <c r="J332" t="s">
        <v>6</v>
      </c>
    </row>
    <row r="333" spans="8:10" x14ac:dyDescent="0.25">
      <c r="H333" s="17">
        <f t="shared" si="19"/>
        <v>5.1836278784231364</v>
      </c>
      <c r="I333" s="18">
        <f t="shared" si="18"/>
        <v>1166</v>
      </c>
      <c r="J333" t="s">
        <v>6</v>
      </c>
    </row>
    <row r="334" spans="8:10" x14ac:dyDescent="0.25">
      <c r="H334" s="17">
        <f t="shared" si="19"/>
        <v>5.1993358416910853</v>
      </c>
      <c r="I334" s="18">
        <f t="shared" si="18"/>
        <v>1173</v>
      </c>
      <c r="J334" t="s">
        <v>6</v>
      </c>
    </row>
    <row r="335" spans="8:10" x14ac:dyDescent="0.25">
      <c r="H335" s="17">
        <f t="shared" si="19"/>
        <v>5.2150438049590342</v>
      </c>
      <c r="I335" s="18">
        <f t="shared" si="18"/>
        <v>1181</v>
      </c>
      <c r="J335" t="s">
        <v>6</v>
      </c>
    </row>
    <row r="336" spans="8:10" x14ac:dyDescent="0.25">
      <c r="H336" s="17">
        <f t="shared" si="19"/>
        <v>5.2307517682269831</v>
      </c>
      <c r="I336" s="18">
        <f t="shared" si="18"/>
        <v>1189</v>
      </c>
      <c r="J336" t="s">
        <v>6</v>
      </c>
    </row>
    <row r="337" spans="8:10" x14ac:dyDescent="0.25">
      <c r="H337" s="17">
        <f t="shared" si="19"/>
        <v>5.2464597314949319</v>
      </c>
      <c r="I337" s="18">
        <f t="shared" si="18"/>
        <v>1197</v>
      </c>
      <c r="J337" t="s">
        <v>6</v>
      </c>
    </row>
    <row r="338" spans="8:10" x14ac:dyDescent="0.25">
      <c r="H338" s="17">
        <f t="shared" si="19"/>
        <v>5.2621676947628808</v>
      </c>
      <c r="I338" s="18">
        <f t="shared" si="18"/>
        <v>1205</v>
      </c>
      <c r="J338" t="s">
        <v>6</v>
      </c>
    </row>
    <row r="339" spans="8:10" x14ac:dyDescent="0.25">
      <c r="H339" s="17">
        <f t="shared" si="19"/>
        <v>5.2778756580308297</v>
      </c>
      <c r="I339" s="18">
        <f t="shared" si="18"/>
        <v>1213</v>
      </c>
      <c r="J339" t="s">
        <v>6</v>
      </c>
    </row>
    <row r="340" spans="8:10" x14ac:dyDescent="0.25">
      <c r="H340" s="17">
        <f t="shared" si="19"/>
        <v>5.2935836212987786</v>
      </c>
      <c r="I340" s="18">
        <f t="shared" si="18"/>
        <v>1222</v>
      </c>
      <c r="J340" t="s">
        <v>6</v>
      </c>
    </row>
    <row r="341" spans="8:10" x14ac:dyDescent="0.25">
      <c r="H341" s="17">
        <f t="shared" si="19"/>
        <v>5.3092915845667275</v>
      </c>
      <c r="I341" s="18">
        <f t="shared" si="18"/>
        <v>1231</v>
      </c>
      <c r="J341" t="s">
        <v>6</v>
      </c>
    </row>
    <row r="342" spans="8:10" x14ac:dyDescent="0.25">
      <c r="H342" s="17">
        <f t="shared" si="19"/>
        <v>5.3249995478346763</v>
      </c>
      <c r="I342" s="18">
        <f t="shared" si="18"/>
        <v>1240</v>
      </c>
      <c r="J342" t="s">
        <v>6</v>
      </c>
    </row>
    <row r="343" spans="8:10" x14ac:dyDescent="0.25">
      <c r="H343" s="17">
        <f t="shared" si="19"/>
        <v>5.3407075111026252</v>
      </c>
      <c r="I343" s="18">
        <f t="shared" si="18"/>
        <v>1250</v>
      </c>
      <c r="J343" t="s">
        <v>6</v>
      </c>
    </row>
    <row r="344" spans="8:10" x14ac:dyDescent="0.25">
      <c r="H344" s="17">
        <f t="shared" si="19"/>
        <v>5.3564154743705741</v>
      </c>
      <c r="I344" s="18">
        <f t="shared" si="18"/>
        <v>1259</v>
      </c>
      <c r="J344" t="s">
        <v>6</v>
      </c>
    </row>
    <row r="345" spans="8:10" x14ac:dyDescent="0.25">
      <c r="H345" s="17">
        <f t="shared" si="19"/>
        <v>5.372123437638523</v>
      </c>
      <c r="I345" s="18">
        <f t="shared" si="18"/>
        <v>1269</v>
      </c>
      <c r="J345" t="s">
        <v>6</v>
      </c>
    </row>
    <row r="346" spans="8:10" x14ac:dyDescent="0.25">
      <c r="H346" s="17">
        <f t="shared" si="19"/>
        <v>5.3878314009064718</v>
      </c>
      <c r="I346" s="18">
        <f t="shared" si="18"/>
        <v>1279</v>
      </c>
      <c r="J346" t="s">
        <v>6</v>
      </c>
    </row>
    <row r="347" spans="8:10" x14ac:dyDescent="0.25">
      <c r="H347" s="17">
        <f t="shared" si="19"/>
        <v>5.4035393641744207</v>
      </c>
      <c r="I347" s="18">
        <f t="shared" si="18"/>
        <v>1289</v>
      </c>
      <c r="J347" t="s">
        <v>6</v>
      </c>
    </row>
    <row r="348" spans="8:10" x14ac:dyDescent="0.25">
      <c r="H348" s="17">
        <f t="shared" si="19"/>
        <v>5.4192473274423696</v>
      </c>
      <c r="I348" s="18">
        <f t="shared" si="18"/>
        <v>1299</v>
      </c>
      <c r="J348" t="s">
        <v>6</v>
      </c>
    </row>
    <row r="349" spans="8:10" x14ac:dyDescent="0.25">
      <c r="H349" s="17">
        <f t="shared" si="19"/>
        <v>5.4349552907103185</v>
      </c>
      <c r="I349" s="18">
        <f t="shared" si="18"/>
        <v>1310</v>
      </c>
      <c r="J349" t="s">
        <v>6</v>
      </c>
    </row>
    <row r="350" spans="8:10" x14ac:dyDescent="0.25">
      <c r="H350" s="17">
        <f t="shared" si="19"/>
        <v>5.4506632539782673</v>
      </c>
      <c r="I350" s="18">
        <f t="shared" si="18"/>
        <v>1321</v>
      </c>
      <c r="J350" t="s">
        <v>6</v>
      </c>
    </row>
    <row r="351" spans="8:10" x14ac:dyDescent="0.25">
      <c r="H351" s="17">
        <f t="shared" si="19"/>
        <v>5.4663712172462162</v>
      </c>
      <c r="I351" s="18">
        <f t="shared" si="18"/>
        <v>1332</v>
      </c>
      <c r="J351" t="s">
        <v>6</v>
      </c>
    </row>
    <row r="352" spans="8:10" x14ac:dyDescent="0.25">
      <c r="H352" s="17">
        <f t="shared" si="19"/>
        <v>5.4820791805141651</v>
      </c>
      <c r="I352" s="18">
        <f t="shared" si="18"/>
        <v>1343</v>
      </c>
      <c r="J352" t="s">
        <v>6</v>
      </c>
    </row>
    <row r="353" spans="8:10" x14ac:dyDescent="0.25">
      <c r="H353" s="17">
        <f t="shared" si="19"/>
        <v>5.497787143782114</v>
      </c>
      <c r="I353" s="18">
        <f t="shared" si="18"/>
        <v>1354</v>
      </c>
      <c r="J353" t="s">
        <v>6</v>
      </c>
    </row>
    <row r="354" spans="8:10" x14ac:dyDescent="0.25">
      <c r="H354" s="17">
        <f t="shared" si="19"/>
        <v>5.5134951070500628</v>
      </c>
      <c r="I354" s="18">
        <f t="shared" si="18"/>
        <v>1365</v>
      </c>
      <c r="J354" t="s">
        <v>6</v>
      </c>
    </row>
    <row r="355" spans="8:10" x14ac:dyDescent="0.25">
      <c r="H355" s="17">
        <f t="shared" si="19"/>
        <v>5.5292030703180117</v>
      </c>
      <c r="I355" s="18">
        <f t="shared" si="18"/>
        <v>1377</v>
      </c>
      <c r="J355" t="s">
        <v>6</v>
      </c>
    </row>
    <row r="356" spans="8:10" x14ac:dyDescent="0.25">
      <c r="H356" s="17">
        <f t="shared" si="19"/>
        <v>5.5449110335859606</v>
      </c>
      <c r="I356" s="18">
        <f t="shared" si="18"/>
        <v>1389</v>
      </c>
      <c r="J356" t="s">
        <v>6</v>
      </c>
    </row>
    <row r="357" spans="8:10" x14ac:dyDescent="0.25">
      <c r="H357" s="17">
        <f t="shared" si="19"/>
        <v>5.5606189968539095</v>
      </c>
      <c r="I357" s="18">
        <f t="shared" si="18"/>
        <v>1401</v>
      </c>
      <c r="J357" t="s">
        <v>6</v>
      </c>
    </row>
    <row r="358" spans="8:10" x14ac:dyDescent="0.25">
      <c r="H358" s="17">
        <f t="shared" si="19"/>
        <v>5.5763269601218584</v>
      </c>
      <c r="I358" s="18">
        <f t="shared" si="18"/>
        <v>1413</v>
      </c>
      <c r="J358" t="s">
        <v>6</v>
      </c>
    </row>
    <row r="359" spans="8:10" x14ac:dyDescent="0.25">
      <c r="H359" s="17">
        <f t="shared" si="19"/>
        <v>5.5920349233898072</v>
      </c>
      <c r="I359" s="18">
        <f t="shared" si="18"/>
        <v>1425</v>
      </c>
      <c r="J359" t="s">
        <v>6</v>
      </c>
    </row>
    <row r="360" spans="8:10" x14ac:dyDescent="0.25">
      <c r="H360" s="17">
        <f t="shared" si="19"/>
        <v>5.6077428866577561</v>
      </c>
      <c r="I360" s="18">
        <f t="shared" si="18"/>
        <v>1438</v>
      </c>
      <c r="J360" t="s">
        <v>6</v>
      </c>
    </row>
    <row r="361" spans="8:10" x14ac:dyDescent="0.25">
      <c r="H361" s="17">
        <f t="shared" si="19"/>
        <v>5.623450849925705</v>
      </c>
      <c r="I361" s="18">
        <f t="shared" si="18"/>
        <v>1450</v>
      </c>
      <c r="J361" t="s">
        <v>6</v>
      </c>
    </row>
    <row r="362" spans="8:10" x14ac:dyDescent="0.25">
      <c r="H362" s="17">
        <f t="shared" si="19"/>
        <v>5.6391588131936539</v>
      </c>
      <c r="I362" s="18">
        <f t="shared" si="18"/>
        <v>1463</v>
      </c>
      <c r="J362" t="s">
        <v>6</v>
      </c>
    </row>
    <row r="363" spans="8:10" x14ac:dyDescent="0.25">
      <c r="H363" s="17">
        <f t="shared" si="19"/>
        <v>5.6548667764616027</v>
      </c>
      <c r="I363" s="18">
        <f t="shared" si="18"/>
        <v>1476</v>
      </c>
      <c r="J363" t="s">
        <v>6</v>
      </c>
    </row>
    <row r="364" spans="8:10" x14ac:dyDescent="0.25">
      <c r="H364" s="17">
        <f t="shared" si="19"/>
        <v>5.6705747397295516</v>
      </c>
      <c r="I364" s="18">
        <f t="shared" si="18"/>
        <v>1489</v>
      </c>
      <c r="J364" t="s">
        <v>6</v>
      </c>
    </row>
    <row r="365" spans="8:10" x14ac:dyDescent="0.25">
      <c r="H365" s="17">
        <f t="shared" si="19"/>
        <v>5.6862827029975005</v>
      </c>
      <c r="I365" s="18">
        <f t="shared" si="18"/>
        <v>1502</v>
      </c>
      <c r="J365" t="s">
        <v>6</v>
      </c>
    </row>
    <row r="366" spans="8:10" x14ac:dyDescent="0.25">
      <c r="H366" s="17">
        <f t="shared" si="19"/>
        <v>5.7019906662654494</v>
      </c>
      <c r="I366" s="18">
        <f t="shared" si="18"/>
        <v>1516</v>
      </c>
      <c r="J366" t="s">
        <v>6</v>
      </c>
    </row>
    <row r="367" spans="8:10" x14ac:dyDescent="0.25">
      <c r="H367" s="17">
        <f t="shared" si="19"/>
        <v>5.7176986295333982</v>
      </c>
      <c r="I367" s="18">
        <f t="shared" si="18"/>
        <v>1529</v>
      </c>
      <c r="J367" t="s">
        <v>6</v>
      </c>
    </row>
    <row r="368" spans="8:10" x14ac:dyDescent="0.25">
      <c r="H368" s="17">
        <f t="shared" si="19"/>
        <v>5.7334065928013471</v>
      </c>
      <c r="I368" s="18">
        <f t="shared" si="18"/>
        <v>1543</v>
      </c>
      <c r="J368" t="s">
        <v>6</v>
      </c>
    </row>
    <row r="369" spans="8:10" x14ac:dyDescent="0.25">
      <c r="H369" s="17">
        <f t="shared" si="19"/>
        <v>5.749114556069296</v>
      </c>
      <c r="I369" s="18">
        <f t="shared" si="18"/>
        <v>1557</v>
      </c>
      <c r="J369" t="s">
        <v>6</v>
      </c>
    </row>
    <row r="370" spans="8:10" x14ac:dyDescent="0.25">
      <c r="H370" s="17">
        <f t="shared" si="19"/>
        <v>5.7648225193372449</v>
      </c>
      <c r="I370" s="18">
        <f t="shared" si="18"/>
        <v>1571</v>
      </c>
      <c r="J370" t="s">
        <v>6</v>
      </c>
    </row>
    <row r="371" spans="8:10" x14ac:dyDescent="0.25">
      <c r="H371" s="17">
        <f t="shared" si="19"/>
        <v>5.7805304826051938</v>
      </c>
      <c r="I371" s="18">
        <f t="shared" si="18"/>
        <v>1585</v>
      </c>
      <c r="J371" t="s">
        <v>6</v>
      </c>
    </row>
    <row r="372" spans="8:10" x14ac:dyDescent="0.25">
      <c r="H372" s="17">
        <f t="shared" si="19"/>
        <v>5.7962384458731426</v>
      </c>
      <c r="I372" s="18">
        <f t="shared" si="18"/>
        <v>1599</v>
      </c>
      <c r="J372" t="s">
        <v>6</v>
      </c>
    </row>
    <row r="373" spans="8:10" x14ac:dyDescent="0.25">
      <c r="H373" s="17">
        <f t="shared" si="19"/>
        <v>5.8119464091410915</v>
      </c>
      <c r="I373" s="18">
        <f t="shared" si="18"/>
        <v>1613</v>
      </c>
      <c r="J373" t="s">
        <v>6</v>
      </c>
    </row>
    <row r="374" spans="8:10" x14ac:dyDescent="0.25">
      <c r="H374" s="17">
        <f t="shared" si="19"/>
        <v>5.8276543724090404</v>
      </c>
      <c r="I374" s="18">
        <f t="shared" si="18"/>
        <v>1628</v>
      </c>
      <c r="J374" t="s">
        <v>6</v>
      </c>
    </row>
    <row r="375" spans="8:10" x14ac:dyDescent="0.25">
      <c r="H375" s="17">
        <f t="shared" si="19"/>
        <v>5.8433623356769893</v>
      </c>
      <c r="I375" s="18">
        <f t="shared" si="18"/>
        <v>1642</v>
      </c>
      <c r="J375" t="s">
        <v>6</v>
      </c>
    </row>
    <row r="376" spans="8:10" x14ac:dyDescent="0.25">
      <c r="H376" s="17">
        <f t="shared" si="19"/>
        <v>5.8590702989449381</v>
      </c>
      <c r="I376" s="18">
        <f t="shared" si="18"/>
        <v>1657</v>
      </c>
      <c r="J376" t="s">
        <v>6</v>
      </c>
    </row>
    <row r="377" spans="8:10" x14ac:dyDescent="0.25">
      <c r="H377" s="17">
        <f t="shared" si="19"/>
        <v>5.874778262212887</v>
      </c>
      <c r="I377" s="18">
        <f t="shared" si="18"/>
        <v>1671</v>
      </c>
      <c r="J377" t="s">
        <v>6</v>
      </c>
    </row>
    <row r="378" spans="8:10" x14ac:dyDescent="0.25">
      <c r="H378" s="17">
        <f t="shared" si="19"/>
        <v>5.8904862254808359</v>
      </c>
      <c r="I378" s="18">
        <f t="shared" si="18"/>
        <v>1686</v>
      </c>
      <c r="J378" t="s">
        <v>6</v>
      </c>
    </row>
    <row r="379" spans="8:10" x14ac:dyDescent="0.25">
      <c r="H379" s="17">
        <f t="shared" si="19"/>
        <v>5.9061941887487848</v>
      </c>
      <c r="I379" s="18">
        <f t="shared" si="18"/>
        <v>1701</v>
      </c>
      <c r="J379" t="s">
        <v>6</v>
      </c>
    </row>
    <row r="380" spans="8:10" x14ac:dyDescent="0.25">
      <c r="H380" s="17">
        <f t="shared" si="19"/>
        <v>5.9219021520167336</v>
      </c>
      <c r="I380" s="18">
        <f t="shared" si="18"/>
        <v>1716</v>
      </c>
      <c r="J380" t="s">
        <v>6</v>
      </c>
    </row>
    <row r="381" spans="8:10" x14ac:dyDescent="0.25">
      <c r="H381" s="17">
        <f t="shared" si="19"/>
        <v>5.9376101152846825</v>
      </c>
      <c r="I381" s="18">
        <f t="shared" si="18"/>
        <v>1731</v>
      </c>
      <c r="J381" t="s">
        <v>6</v>
      </c>
    </row>
    <row r="382" spans="8:10" x14ac:dyDescent="0.25">
      <c r="H382" s="17">
        <f t="shared" si="19"/>
        <v>5.9533180785526314</v>
      </c>
      <c r="I382" s="18">
        <f t="shared" si="18"/>
        <v>1746</v>
      </c>
      <c r="J382" t="s">
        <v>6</v>
      </c>
    </row>
    <row r="383" spans="8:10" x14ac:dyDescent="0.25">
      <c r="H383" s="17">
        <f t="shared" si="19"/>
        <v>5.9690260418205803</v>
      </c>
      <c r="I383" s="18">
        <f t="shared" si="18"/>
        <v>1762</v>
      </c>
      <c r="J383" t="s">
        <v>6</v>
      </c>
    </row>
    <row r="384" spans="8:10" x14ac:dyDescent="0.25">
      <c r="H384" s="17">
        <f t="shared" si="19"/>
        <v>5.9847340050885292</v>
      </c>
      <c r="I384" s="18">
        <f t="shared" si="18"/>
        <v>1777</v>
      </c>
      <c r="J384" t="s">
        <v>6</v>
      </c>
    </row>
    <row r="385" spans="8:10" x14ac:dyDescent="0.25">
      <c r="H385" s="17">
        <f t="shared" si="19"/>
        <v>6.000441968356478</v>
      </c>
      <c r="I385" s="18">
        <f t="shared" si="18"/>
        <v>1792</v>
      </c>
      <c r="J385" t="s">
        <v>6</v>
      </c>
    </row>
    <row r="386" spans="8:10" x14ac:dyDescent="0.25">
      <c r="H386" s="17">
        <f t="shared" si="19"/>
        <v>6.0161499316244269</v>
      </c>
      <c r="I386" s="18">
        <f t="shared" si="18"/>
        <v>1808</v>
      </c>
      <c r="J386" t="s">
        <v>6</v>
      </c>
    </row>
    <row r="387" spans="8:10" x14ac:dyDescent="0.25">
      <c r="H387" s="17">
        <f t="shared" si="19"/>
        <v>6.0318578948923758</v>
      </c>
      <c r="I387" s="18">
        <f t="shared" ref="I387:I450" si="20">ROUND(SIN(H387)*$L$2+$L$1,0)</f>
        <v>1823</v>
      </c>
      <c r="J387" t="s">
        <v>6</v>
      </c>
    </row>
    <row r="388" spans="8:10" x14ac:dyDescent="0.25">
      <c r="H388" s="17">
        <f t="shared" si="19"/>
        <v>6.0475658581603247</v>
      </c>
      <c r="I388" s="18">
        <f t="shared" si="20"/>
        <v>1839</v>
      </c>
      <c r="J388" t="s">
        <v>6</v>
      </c>
    </row>
    <row r="389" spans="8:10" x14ac:dyDescent="0.25">
      <c r="H389" s="17">
        <f t="shared" si="19"/>
        <v>6.0632738214282735</v>
      </c>
      <c r="I389" s="18">
        <f t="shared" si="20"/>
        <v>1855</v>
      </c>
      <c r="J389" t="s">
        <v>6</v>
      </c>
    </row>
    <row r="390" spans="8:10" x14ac:dyDescent="0.25">
      <c r="H390" s="17">
        <f t="shared" ref="H390:H453" si="21">H389+$I$2</f>
        <v>6.0789817846962224</v>
      </c>
      <c r="I390" s="18">
        <f t="shared" si="20"/>
        <v>1870</v>
      </c>
      <c r="J390" t="s">
        <v>6</v>
      </c>
    </row>
    <row r="391" spans="8:10" x14ac:dyDescent="0.25">
      <c r="H391" s="17">
        <f t="shared" si="21"/>
        <v>6.0946897479641713</v>
      </c>
      <c r="I391" s="18">
        <f t="shared" si="20"/>
        <v>1886</v>
      </c>
      <c r="J391" t="s">
        <v>6</v>
      </c>
    </row>
    <row r="392" spans="8:10" x14ac:dyDescent="0.25">
      <c r="H392" s="17">
        <f t="shared" si="21"/>
        <v>6.1103977112321202</v>
      </c>
      <c r="I392" s="18">
        <f t="shared" si="20"/>
        <v>1902</v>
      </c>
      <c r="J392" t="s">
        <v>6</v>
      </c>
    </row>
    <row r="393" spans="8:10" x14ac:dyDescent="0.25">
      <c r="H393" s="17">
        <f t="shared" si="21"/>
        <v>6.126105674500069</v>
      </c>
      <c r="I393" s="18">
        <f t="shared" si="20"/>
        <v>1918</v>
      </c>
      <c r="J393" t="s">
        <v>6</v>
      </c>
    </row>
    <row r="394" spans="8:10" x14ac:dyDescent="0.25">
      <c r="H394" s="17">
        <f t="shared" si="21"/>
        <v>6.1418136377680179</v>
      </c>
      <c r="I394" s="18">
        <f t="shared" si="20"/>
        <v>1934</v>
      </c>
      <c r="J394" t="s">
        <v>6</v>
      </c>
    </row>
    <row r="395" spans="8:10" x14ac:dyDescent="0.25">
      <c r="H395" s="17">
        <f t="shared" si="21"/>
        <v>6.1575216010359668</v>
      </c>
      <c r="I395" s="18">
        <f t="shared" si="20"/>
        <v>1950</v>
      </c>
      <c r="J395" t="s">
        <v>6</v>
      </c>
    </row>
    <row r="396" spans="8:10" x14ac:dyDescent="0.25">
      <c r="H396" s="17">
        <f t="shared" si="21"/>
        <v>6.1732295643039157</v>
      </c>
      <c r="I396" s="18">
        <f t="shared" si="20"/>
        <v>1966</v>
      </c>
      <c r="J396" t="s">
        <v>6</v>
      </c>
    </row>
    <row r="397" spans="8:10" x14ac:dyDescent="0.25">
      <c r="H397" s="17">
        <f t="shared" si="21"/>
        <v>6.1889375275718645</v>
      </c>
      <c r="I397" s="18">
        <f t="shared" si="20"/>
        <v>1982</v>
      </c>
      <c r="J397" t="s">
        <v>6</v>
      </c>
    </row>
    <row r="398" spans="8:10" x14ac:dyDescent="0.25">
      <c r="H398" s="17">
        <f t="shared" si="21"/>
        <v>6.2046454908398134</v>
      </c>
      <c r="I398" s="18">
        <f t="shared" si="20"/>
        <v>1998</v>
      </c>
      <c r="J398" t="s">
        <v>6</v>
      </c>
    </row>
    <row r="399" spans="8:10" x14ac:dyDescent="0.25">
      <c r="H399" s="17">
        <f t="shared" si="21"/>
        <v>6.2203534541077623</v>
      </c>
      <c r="I399" s="18">
        <f t="shared" si="20"/>
        <v>2014</v>
      </c>
      <c r="J399" t="s">
        <v>6</v>
      </c>
    </row>
    <row r="400" spans="8:10" x14ac:dyDescent="0.25">
      <c r="H400" s="17">
        <f t="shared" si="21"/>
        <v>6.2360614173757112</v>
      </c>
      <c r="I400" s="18">
        <f t="shared" si="20"/>
        <v>2030</v>
      </c>
      <c r="J400" t="s">
        <v>6</v>
      </c>
    </row>
    <row r="401" spans="8:10" x14ac:dyDescent="0.25">
      <c r="H401" s="17">
        <f t="shared" si="21"/>
        <v>6.2517693806436601</v>
      </c>
      <c r="I401" s="18">
        <f t="shared" si="20"/>
        <v>2046</v>
      </c>
      <c r="J401" t="s">
        <v>6</v>
      </c>
    </row>
    <row r="402" spans="8:10" x14ac:dyDescent="0.25">
      <c r="H402" s="17">
        <f t="shared" si="21"/>
        <v>6.2674773439116089</v>
      </c>
      <c r="I402" s="18">
        <f t="shared" si="20"/>
        <v>2062</v>
      </c>
      <c r="J402" t="s">
        <v>6</v>
      </c>
    </row>
    <row r="403" spans="8:10" x14ac:dyDescent="0.25">
      <c r="H403" s="17">
        <f t="shared" si="21"/>
        <v>6.2831853071795578</v>
      </c>
      <c r="I403" s="18">
        <f t="shared" si="20"/>
        <v>2078</v>
      </c>
      <c r="J403" t="s">
        <v>6</v>
      </c>
    </row>
    <row r="404" spans="8:10" x14ac:dyDescent="0.25">
      <c r="H404" s="17">
        <f t="shared" si="21"/>
        <v>6.2988932704475067</v>
      </c>
      <c r="I404" s="18">
        <f t="shared" si="20"/>
        <v>2094</v>
      </c>
      <c r="J404" t="s">
        <v>6</v>
      </c>
    </row>
    <row r="405" spans="8:10" x14ac:dyDescent="0.25">
      <c r="H405" s="17">
        <f t="shared" si="21"/>
        <v>6.3146012337154556</v>
      </c>
      <c r="I405" s="18">
        <f t="shared" si="20"/>
        <v>2110</v>
      </c>
      <c r="J405" t="s">
        <v>6</v>
      </c>
    </row>
    <row r="406" spans="8:10" x14ac:dyDescent="0.25">
      <c r="H406" s="17">
        <f t="shared" si="21"/>
        <v>6.3303091969834044</v>
      </c>
      <c r="I406" s="18">
        <f t="shared" si="20"/>
        <v>2126</v>
      </c>
      <c r="J406" t="s">
        <v>6</v>
      </c>
    </row>
    <row r="407" spans="8:10" x14ac:dyDescent="0.25">
      <c r="H407" s="17">
        <f t="shared" si="21"/>
        <v>6.3460171602513533</v>
      </c>
      <c r="I407" s="18">
        <f t="shared" si="20"/>
        <v>2142</v>
      </c>
      <c r="J407" t="s">
        <v>6</v>
      </c>
    </row>
    <row r="408" spans="8:10" x14ac:dyDescent="0.25">
      <c r="H408" s="17">
        <f t="shared" si="21"/>
        <v>6.3617251235193022</v>
      </c>
      <c r="I408" s="18">
        <f t="shared" si="20"/>
        <v>2158</v>
      </c>
      <c r="J408" t="s">
        <v>6</v>
      </c>
    </row>
    <row r="409" spans="8:10" x14ac:dyDescent="0.25">
      <c r="H409" s="17">
        <f t="shared" si="21"/>
        <v>6.3774330867872511</v>
      </c>
      <c r="I409" s="18">
        <f t="shared" si="20"/>
        <v>2174</v>
      </c>
      <c r="J409" t="s">
        <v>6</v>
      </c>
    </row>
    <row r="410" spans="8:10" x14ac:dyDescent="0.25">
      <c r="H410" s="17">
        <f t="shared" si="21"/>
        <v>6.3931410500551999</v>
      </c>
      <c r="I410" s="18">
        <f t="shared" si="20"/>
        <v>2190</v>
      </c>
      <c r="J410" t="s">
        <v>6</v>
      </c>
    </row>
    <row r="411" spans="8:10" x14ac:dyDescent="0.25">
      <c r="H411" s="17">
        <f t="shared" si="21"/>
        <v>6.4088490133231488</v>
      </c>
      <c r="I411" s="18">
        <f t="shared" si="20"/>
        <v>2206</v>
      </c>
      <c r="J411" t="s">
        <v>6</v>
      </c>
    </row>
    <row r="412" spans="8:10" x14ac:dyDescent="0.25">
      <c r="H412" s="17">
        <f t="shared" si="21"/>
        <v>6.4245569765910977</v>
      </c>
      <c r="I412" s="18">
        <f t="shared" si="20"/>
        <v>2222</v>
      </c>
      <c r="J412" t="s">
        <v>6</v>
      </c>
    </row>
    <row r="413" spans="8:10" x14ac:dyDescent="0.25">
      <c r="H413" s="17">
        <f t="shared" si="21"/>
        <v>6.4402649398590466</v>
      </c>
      <c r="I413" s="18">
        <f t="shared" si="20"/>
        <v>2238</v>
      </c>
      <c r="J413" t="s">
        <v>6</v>
      </c>
    </row>
    <row r="414" spans="8:10" x14ac:dyDescent="0.25">
      <c r="H414" s="17">
        <f t="shared" si="21"/>
        <v>6.4559729031269955</v>
      </c>
      <c r="I414" s="18">
        <f t="shared" si="20"/>
        <v>2254</v>
      </c>
      <c r="J414" t="s">
        <v>6</v>
      </c>
    </row>
    <row r="415" spans="8:10" x14ac:dyDescent="0.25">
      <c r="H415" s="17">
        <f t="shared" si="21"/>
        <v>6.4716808663949443</v>
      </c>
      <c r="I415" s="18">
        <f t="shared" si="20"/>
        <v>2270</v>
      </c>
      <c r="J415" t="s">
        <v>6</v>
      </c>
    </row>
    <row r="416" spans="8:10" x14ac:dyDescent="0.25">
      <c r="H416" s="17">
        <f t="shared" si="21"/>
        <v>6.4873888296628932</v>
      </c>
      <c r="I416" s="18">
        <f t="shared" si="20"/>
        <v>2286</v>
      </c>
      <c r="J416" t="s">
        <v>6</v>
      </c>
    </row>
    <row r="417" spans="8:10" x14ac:dyDescent="0.25">
      <c r="H417" s="17">
        <f t="shared" si="21"/>
        <v>6.5030967929308421</v>
      </c>
      <c r="I417" s="18">
        <f t="shared" si="20"/>
        <v>2301</v>
      </c>
      <c r="J417" t="s">
        <v>6</v>
      </c>
    </row>
    <row r="418" spans="8:10" x14ac:dyDescent="0.25">
      <c r="H418" s="17">
        <f t="shared" si="21"/>
        <v>6.518804756198791</v>
      </c>
      <c r="I418" s="18">
        <f t="shared" si="20"/>
        <v>2317</v>
      </c>
      <c r="J418" t="s">
        <v>6</v>
      </c>
    </row>
    <row r="419" spans="8:10" x14ac:dyDescent="0.25">
      <c r="H419" s="17">
        <f t="shared" si="21"/>
        <v>6.5345127194667398</v>
      </c>
      <c r="I419" s="18">
        <f t="shared" si="20"/>
        <v>2333</v>
      </c>
      <c r="J419" t="s">
        <v>6</v>
      </c>
    </row>
    <row r="420" spans="8:10" x14ac:dyDescent="0.25">
      <c r="H420" s="17">
        <f t="shared" si="21"/>
        <v>6.5502206827346887</v>
      </c>
      <c r="I420" s="18">
        <f t="shared" si="20"/>
        <v>2348</v>
      </c>
      <c r="J420" t="s">
        <v>6</v>
      </c>
    </row>
    <row r="421" spans="8:10" x14ac:dyDescent="0.25">
      <c r="H421" s="17">
        <f t="shared" si="21"/>
        <v>6.5659286460026376</v>
      </c>
      <c r="I421" s="18">
        <f t="shared" si="20"/>
        <v>2364</v>
      </c>
      <c r="J421" t="s">
        <v>6</v>
      </c>
    </row>
    <row r="422" spans="8:10" x14ac:dyDescent="0.25">
      <c r="H422" s="17">
        <f t="shared" si="21"/>
        <v>6.5816366092705865</v>
      </c>
      <c r="I422" s="18">
        <f t="shared" si="20"/>
        <v>2379</v>
      </c>
      <c r="J422" t="s">
        <v>6</v>
      </c>
    </row>
    <row r="423" spans="8:10" x14ac:dyDescent="0.25">
      <c r="H423" s="17">
        <f t="shared" si="21"/>
        <v>6.5973445725385353</v>
      </c>
      <c r="I423" s="18">
        <f t="shared" si="20"/>
        <v>2394</v>
      </c>
      <c r="J423" t="s">
        <v>6</v>
      </c>
    </row>
    <row r="424" spans="8:10" x14ac:dyDescent="0.25">
      <c r="H424" s="17">
        <f t="shared" si="21"/>
        <v>6.6130525358064842</v>
      </c>
      <c r="I424" s="18">
        <f t="shared" si="20"/>
        <v>2410</v>
      </c>
      <c r="J424" t="s">
        <v>6</v>
      </c>
    </row>
    <row r="425" spans="8:10" x14ac:dyDescent="0.25">
      <c r="H425" s="17">
        <f t="shared" si="21"/>
        <v>6.6287604990744331</v>
      </c>
      <c r="I425" s="18">
        <f t="shared" si="20"/>
        <v>2425</v>
      </c>
      <c r="J425" t="s">
        <v>6</v>
      </c>
    </row>
    <row r="426" spans="8:10" x14ac:dyDescent="0.25">
      <c r="H426" s="17">
        <f t="shared" si="21"/>
        <v>6.644468462342382</v>
      </c>
      <c r="I426" s="18">
        <f t="shared" si="20"/>
        <v>2440</v>
      </c>
      <c r="J426" t="s">
        <v>6</v>
      </c>
    </row>
    <row r="427" spans="8:10" x14ac:dyDescent="0.25">
      <c r="H427" s="17">
        <f t="shared" si="21"/>
        <v>6.6601764256103309</v>
      </c>
      <c r="I427" s="18">
        <f t="shared" si="20"/>
        <v>2455</v>
      </c>
      <c r="J427" t="s">
        <v>6</v>
      </c>
    </row>
    <row r="428" spans="8:10" x14ac:dyDescent="0.25">
      <c r="H428" s="17">
        <f t="shared" si="21"/>
        <v>6.6758843888782797</v>
      </c>
      <c r="I428" s="18">
        <f t="shared" si="20"/>
        <v>2470</v>
      </c>
      <c r="J428" t="s">
        <v>6</v>
      </c>
    </row>
    <row r="429" spans="8:10" x14ac:dyDescent="0.25">
      <c r="H429" s="17">
        <f t="shared" si="21"/>
        <v>6.6915923521462286</v>
      </c>
      <c r="I429" s="18">
        <f t="shared" si="20"/>
        <v>2485</v>
      </c>
      <c r="J429" t="s">
        <v>6</v>
      </c>
    </row>
    <row r="430" spans="8:10" x14ac:dyDescent="0.25">
      <c r="H430" s="17">
        <f t="shared" si="21"/>
        <v>6.7073003154141775</v>
      </c>
      <c r="I430" s="18">
        <f t="shared" si="20"/>
        <v>2499</v>
      </c>
      <c r="J430" t="s">
        <v>6</v>
      </c>
    </row>
    <row r="431" spans="8:10" x14ac:dyDescent="0.25">
      <c r="H431" s="17">
        <f t="shared" si="21"/>
        <v>6.7230082786821264</v>
      </c>
      <c r="I431" s="18">
        <f t="shared" si="20"/>
        <v>2514</v>
      </c>
      <c r="J431" t="s">
        <v>6</v>
      </c>
    </row>
    <row r="432" spans="8:10" x14ac:dyDescent="0.25">
      <c r="H432" s="17">
        <f t="shared" si="21"/>
        <v>6.7387162419500752</v>
      </c>
      <c r="I432" s="18">
        <f t="shared" si="20"/>
        <v>2528</v>
      </c>
      <c r="J432" t="s">
        <v>6</v>
      </c>
    </row>
    <row r="433" spans="8:10" x14ac:dyDescent="0.25">
      <c r="H433" s="17">
        <f t="shared" si="21"/>
        <v>6.7544242052180241</v>
      </c>
      <c r="I433" s="18">
        <f t="shared" si="20"/>
        <v>2543</v>
      </c>
      <c r="J433" t="s">
        <v>6</v>
      </c>
    </row>
    <row r="434" spans="8:10" x14ac:dyDescent="0.25">
      <c r="H434" s="17">
        <f t="shared" si="21"/>
        <v>6.770132168485973</v>
      </c>
      <c r="I434" s="18">
        <f t="shared" si="20"/>
        <v>2557</v>
      </c>
      <c r="J434" t="s">
        <v>6</v>
      </c>
    </row>
    <row r="435" spans="8:10" x14ac:dyDescent="0.25">
      <c r="H435" s="17">
        <f t="shared" si="21"/>
        <v>6.7858401317539219</v>
      </c>
      <c r="I435" s="18">
        <f t="shared" si="20"/>
        <v>2571</v>
      </c>
      <c r="J435" t="s">
        <v>6</v>
      </c>
    </row>
    <row r="436" spans="8:10" x14ac:dyDescent="0.25">
      <c r="H436" s="17">
        <f t="shared" si="21"/>
        <v>6.8015480950218707</v>
      </c>
      <c r="I436" s="18">
        <f t="shared" si="20"/>
        <v>2585</v>
      </c>
      <c r="J436" t="s">
        <v>6</v>
      </c>
    </row>
    <row r="437" spans="8:10" x14ac:dyDescent="0.25">
      <c r="H437" s="17">
        <f t="shared" si="21"/>
        <v>6.8172560582898196</v>
      </c>
      <c r="I437" s="18">
        <f t="shared" si="20"/>
        <v>2599</v>
      </c>
      <c r="J437" t="s">
        <v>6</v>
      </c>
    </row>
    <row r="438" spans="8:10" x14ac:dyDescent="0.25">
      <c r="H438" s="17">
        <f t="shared" si="21"/>
        <v>6.8329640215577685</v>
      </c>
      <c r="I438" s="18">
        <f t="shared" si="20"/>
        <v>2613</v>
      </c>
      <c r="J438" t="s">
        <v>6</v>
      </c>
    </row>
    <row r="439" spans="8:10" x14ac:dyDescent="0.25">
      <c r="H439" s="17">
        <f t="shared" si="21"/>
        <v>6.8486719848257174</v>
      </c>
      <c r="I439" s="18">
        <f t="shared" si="20"/>
        <v>2627</v>
      </c>
      <c r="J439" t="s">
        <v>6</v>
      </c>
    </row>
    <row r="440" spans="8:10" x14ac:dyDescent="0.25">
      <c r="H440" s="17">
        <f t="shared" si="21"/>
        <v>6.8643799480936663</v>
      </c>
      <c r="I440" s="18">
        <f t="shared" si="20"/>
        <v>2640</v>
      </c>
      <c r="J440" t="s">
        <v>6</v>
      </c>
    </row>
    <row r="441" spans="8:10" x14ac:dyDescent="0.25">
      <c r="H441" s="17">
        <f t="shared" si="21"/>
        <v>6.8800879113616151</v>
      </c>
      <c r="I441" s="18">
        <f t="shared" si="20"/>
        <v>2654</v>
      </c>
      <c r="J441" t="s">
        <v>6</v>
      </c>
    </row>
    <row r="442" spans="8:10" x14ac:dyDescent="0.25">
      <c r="H442" s="17">
        <f t="shared" si="21"/>
        <v>6.895795874629564</v>
      </c>
      <c r="I442" s="18">
        <f t="shared" si="20"/>
        <v>2667</v>
      </c>
      <c r="J442" t="s">
        <v>6</v>
      </c>
    </row>
    <row r="443" spans="8:10" x14ac:dyDescent="0.25">
      <c r="H443" s="17">
        <f t="shared" si="21"/>
        <v>6.9115038378975129</v>
      </c>
      <c r="I443" s="18">
        <f t="shared" si="20"/>
        <v>2680</v>
      </c>
      <c r="J443" t="s">
        <v>6</v>
      </c>
    </row>
    <row r="444" spans="8:10" x14ac:dyDescent="0.25">
      <c r="H444" s="17">
        <f t="shared" si="21"/>
        <v>6.9272118011654618</v>
      </c>
      <c r="I444" s="18">
        <f t="shared" si="20"/>
        <v>2693</v>
      </c>
      <c r="J444" t="s">
        <v>6</v>
      </c>
    </row>
    <row r="445" spans="8:10" x14ac:dyDescent="0.25">
      <c r="H445" s="17">
        <f t="shared" si="21"/>
        <v>6.9429197644334106</v>
      </c>
      <c r="I445" s="18">
        <f t="shared" si="20"/>
        <v>2706</v>
      </c>
      <c r="J445" t="s">
        <v>6</v>
      </c>
    </row>
    <row r="446" spans="8:10" x14ac:dyDescent="0.25">
      <c r="H446" s="17">
        <f t="shared" si="21"/>
        <v>6.9586277277013595</v>
      </c>
      <c r="I446" s="18">
        <f t="shared" si="20"/>
        <v>2718</v>
      </c>
      <c r="J446" t="s">
        <v>6</v>
      </c>
    </row>
    <row r="447" spans="8:10" x14ac:dyDescent="0.25">
      <c r="H447" s="17">
        <f t="shared" si="21"/>
        <v>6.9743356909693084</v>
      </c>
      <c r="I447" s="18">
        <f t="shared" si="20"/>
        <v>2731</v>
      </c>
      <c r="J447" t="s">
        <v>6</v>
      </c>
    </row>
    <row r="448" spans="8:10" x14ac:dyDescent="0.25">
      <c r="H448" s="17">
        <f t="shared" si="21"/>
        <v>6.9900436542372573</v>
      </c>
      <c r="I448" s="18">
        <f t="shared" si="20"/>
        <v>2743</v>
      </c>
      <c r="J448" t="s">
        <v>6</v>
      </c>
    </row>
    <row r="449" spans="8:10" x14ac:dyDescent="0.25">
      <c r="H449" s="17">
        <f t="shared" si="21"/>
        <v>7.0057516175052061</v>
      </c>
      <c r="I449" s="18">
        <f t="shared" si="20"/>
        <v>2755</v>
      </c>
      <c r="J449" t="s">
        <v>6</v>
      </c>
    </row>
    <row r="450" spans="8:10" x14ac:dyDescent="0.25">
      <c r="H450" s="17">
        <f t="shared" si="21"/>
        <v>7.021459580773155</v>
      </c>
      <c r="I450" s="18">
        <f t="shared" si="20"/>
        <v>2767</v>
      </c>
      <c r="J450" t="s">
        <v>6</v>
      </c>
    </row>
    <row r="451" spans="8:10" x14ac:dyDescent="0.25">
      <c r="H451" s="17">
        <f t="shared" si="21"/>
        <v>7.0371675440411039</v>
      </c>
      <c r="I451" s="18">
        <f t="shared" ref="I451:I514" si="22">ROUND(SIN(H451)*$L$2+$L$1,0)</f>
        <v>2779</v>
      </c>
      <c r="J451" t="s">
        <v>6</v>
      </c>
    </row>
    <row r="452" spans="8:10" x14ac:dyDescent="0.25">
      <c r="H452" s="17">
        <f t="shared" si="21"/>
        <v>7.0528755073090528</v>
      </c>
      <c r="I452" s="18">
        <f t="shared" si="22"/>
        <v>2791</v>
      </c>
      <c r="J452" t="s">
        <v>6</v>
      </c>
    </row>
    <row r="453" spans="8:10" x14ac:dyDescent="0.25">
      <c r="H453" s="17">
        <f t="shared" si="21"/>
        <v>7.0685834705770016</v>
      </c>
      <c r="I453" s="18">
        <f t="shared" si="22"/>
        <v>2802</v>
      </c>
      <c r="J453" t="s">
        <v>6</v>
      </c>
    </row>
    <row r="454" spans="8:10" x14ac:dyDescent="0.25">
      <c r="H454" s="17">
        <f t="shared" ref="H454:H517" si="23">H453+$I$2</f>
        <v>7.0842914338449505</v>
      </c>
      <c r="I454" s="18">
        <f t="shared" si="22"/>
        <v>2813</v>
      </c>
      <c r="J454" t="s">
        <v>6</v>
      </c>
    </row>
    <row r="455" spans="8:10" x14ac:dyDescent="0.25">
      <c r="H455" s="17">
        <f t="shared" si="23"/>
        <v>7.0999993971128994</v>
      </c>
      <c r="I455" s="18">
        <f t="shared" si="22"/>
        <v>2824</v>
      </c>
      <c r="J455" t="s">
        <v>6</v>
      </c>
    </row>
    <row r="456" spans="8:10" x14ac:dyDescent="0.25">
      <c r="H456" s="17">
        <f t="shared" si="23"/>
        <v>7.1157073603808483</v>
      </c>
      <c r="I456" s="18">
        <f t="shared" si="22"/>
        <v>2835</v>
      </c>
      <c r="J456" t="s">
        <v>6</v>
      </c>
    </row>
    <row r="457" spans="8:10" x14ac:dyDescent="0.25">
      <c r="H457" s="17">
        <f t="shared" si="23"/>
        <v>7.1314153236487972</v>
      </c>
      <c r="I457" s="18">
        <f t="shared" si="22"/>
        <v>2846</v>
      </c>
      <c r="J457" t="s">
        <v>6</v>
      </c>
    </row>
    <row r="458" spans="8:10" x14ac:dyDescent="0.25">
      <c r="H458" s="17">
        <f t="shared" si="23"/>
        <v>7.147123286916746</v>
      </c>
      <c r="I458" s="18">
        <f t="shared" si="22"/>
        <v>2857</v>
      </c>
      <c r="J458" t="s">
        <v>6</v>
      </c>
    </row>
    <row r="459" spans="8:10" x14ac:dyDescent="0.25">
      <c r="H459" s="17">
        <f t="shared" si="23"/>
        <v>7.1628312501846949</v>
      </c>
      <c r="I459" s="18">
        <f t="shared" si="22"/>
        <v>2867</v>
      </c>
      <c r="J459" t="s">
        <v>6</v>
      </c>
    </row>
    <row r="460" spans="8:10" x14ac:dyDescent="0.25">
      <c r="H460" s="17">
        <f t="shared" si="23"/>
        <v>7.1785392134526438</v>
      </c>
      <c r="I460" s="18">
        <f t="shared" si="22"/>
        <v>2877</v>
      </c>
      <c r="J460" t="s">
        <v>6</v>
      </c>
    </row>
    <row r="461" spans="8:10" x14ac:dyDescent="0.25">
      <c r="H461" s="17">
        <f t="shared" si="23"/>
        <v>7.1942471767205927</v>
      </c>
      <c r="I461" s="18">
        <f t="shared" si="22"/>
        <v>2887</v>
      </c>
      <c r="J461" t="s">
        <v>6</v>
      </c>
    </row>
    <row r="462" spans="8:10" x14ac:dyDescent="0.25">
      <c r="H462" s="17">
        <f t="shared" si="23"/>
        <v>7.2099551399885415</v>
      </c>
      <c r="I462" s="18">
        <f t="shared" si="22"/>
        <v>2897</v>
      </c>
      <c r="J462" t="s">
        <v>6</v>
      </c>
    </row>
    <row r="463" spans="8:10" x14ac:dyDescent="0.25">
      <c r="H463" s="17">
        <f t="shared" si="23"/>
        <v>7.2256631032564904</v>
      </c>
      <c r="I463" s="18">
        <f t="shared" si="22"/>
        <v>2906</v>
      </c>
      <c r="J463" t="s">
        <v>6</v>
      </c>
    </row>
    <row r="464" spans="8:10" x14ac:dyDescent="0.25">
      <c r="H464" s="17">
        <f t="shared" si="23"/>
        <v>7.2413710665244393</v>
      </c>
      <c r="I464" s="18">
        <f t="shared" si="22"/>
        <v>2916</v>
      </c>
      <c r="J464" t="s">
        <v>6</v>
      </c>
    </row>
    <row r="465" spans="8:10" x14ac:dyDescent="0.25">
      <c r="H465" s="17">
        <f t="shared" si="23"/>
        <v>7.2570790297923882</v>
      </c>
      <c r="I465" s="18">
        <f t="shared" si="22"/>
        <v>2925</v>
      </c>
      <c r="J465" t="s">
        <v>6</v>
      </c>
    </row>
    <row r="466" spans="8:10" x14ac:dyDescent="0.25">
      <c r="H466" s="17">
        <f t="shared" si="23"/>
        <v>7.272786993060337</v>
      </c>
      <c r="I466" s="18">
        <f t="shared" si="22"/>
        <v>2934</v>
      </c>
      <c r="J466" t="s">
        <v>6</v>
      </c>
    </row>
    <row r="467" spans="8:10" x14ac:dyDescent="0.25">
      <c r="H467" s="17">
        <f t="shared" si="23"/>
        <v>7.2884949563282859</v>
      </c>
      <c r="I467" s="18">
        <f t="shared" si="22"/>
        <v>2943</v>
      </c>
      <c r="J467" t="s">
        <v>6</v>
      </c>
    </row>
    <row r="468" spans="8:10" x14ac:dyDescent="0.25">
      <c r="H468" s="17">
        <f t="shared" si="23"/>
        <v>7.3042029195962348</v>
      </c>
      <c r="I468" s="18">
        <f t="shared" si="22"/>
        <v>2951</v>
      </c>
      <c r="J468" t="s">
        <v>6</v>
      </c>
    </row>
    <row r="469" spans="8:10" x14ac:dyDescent="0.25">
      <c r="H469" s="17">
        <f t="shared" si="23"/>
        <v>7.3199108828641837</v>
      </c>
      <c r="I469" s="18">
        <f t="shared" si="22"/>
        <v>2959</v>
      </c>
      <c r="J469" t="s">
        <v>6</v>
      </c>
    </row>
    <row r="470" spans="8:10" x14ac:dyDescent="0.25">
      <c r="H470" s="17">
        <f t="shared" si="23"/>
        <v>7.3356188461321326</v>
      </c>
      <c r="I470" s="18">
        <f t="shared" si="22"/>
        <v>2967</v>
      </c>
      <c r="J470" t="s">
        <v>6</v>
      </c>
    </row>
    <row r="471" spans="8:10" x14ac:dyDescent="0.25">
      <c r="H471" s="17">
        <f t="shared" si="23"/>
        <v>7.3513268094000814</v>
      </c>
      <c r="I471" s="18">
        <f t="shared" si="22"/>
        <v>2975</v>
      </c>
      <c r="J471" t="s">
        <v>6</v>
      </c>
    </row>
    <row r="472" spans="8:10" x14ac:dyDescent="0.25">
      <c r="H472" s="17">
        <f t="shared" si="23"/>
        <v>7.3670347726680303</v>
      </c>
      <c r="I472" s="18">
        <f t="shared" si="22"/>
        <v>2983</v>
      </c>
      <c r="J472" t="s">
        <v>6</v>
      </c>
    </row>
    <row r="473" spans="8:10" x14ac:dyDescent="0.25">
      <c r="H473" s="17">
        <f t="shared" si="23"/>
        <v>7.3827427359359792</v>
      </c>
      <c r="I473" s="18">
        <f t="shared" si="22"/>
        <v>2990</v>
      </c>
      <c r="J473" t="s">
        <v>6</v>
      </c>
    </row>
    <row r="474" spans="8:10" x14ac:dyDescent="0.25">
      <c r="H474" s="17">
        <f t="shared" si="23"/>
        <v>7.3984506992039281</v>
      </c>
      <c r="I474" s="18">
        <f t="shared" si="22"/>
        <v>2998</v>
      </c>
      <c r="J474" t="s">
        <v>6</v>
      </c>
    </row>
    <row r="475" spans="8:10" x14ac:dyDescent="0.25">
      <c r="H475" s="17">
        <f t="shared" si="23"/>
        <v>7.4141586624718769</v>
      </c>
      <c r="I475" s="18">
        <f t="shared" si="22"/>
        <v>3005</v>
      </c>
      <c r="J475" t="s">
        <v>6</v>
      </c>
    </row>
    <row r="476" spans="8:10" x14ac:dyDescent="0.25">
      <c r="H476" s="17">
        <f t="shared" si="23"/>
        <v>7.4298666257398258</v>
      </c>
      <c r="I476" s="18">
        <f t="shared" si="22"/>
        <v>3011</v>
      </c>
      <c r="J476" t="s">
        <v>6</v>
      </c>
    </row>
    <row r="477" spans="8:10" x14ac:dyDescent="0.25">
      <c r="H477" s="17">
        <f t="shared" si="23"/>
        <v>7.4455745890077747</v>
      </c>
      <c r="I477" s="18">
        <f t="shared" si="22"/>
        <v>3018</v>
      </c>
      <c r="J477" t="s">
        <v>6</v>
      </c>
    </row>
    <row r="478" spans="8:10" x14ac:dyDescent="0.25">
      <c r="H478" s="17">
        <f t="shared" si="23"/>
        <v>7.4612825522757236</v>
      </c>
      <c r="I478" s="18">
        <f t="shared" si="22"/>
        <v>3024</v>
      </c>
      <c r="J478" t="s">
        <v>6</v>
      </c>
    </row>
    <row r="479" spans="8:10" x14ac:dyDescent="0.25">
      <c r="H479" s="17">
        <f t="shared" si="23"/>
        <v>7.4769905155436724</v>
      </c>
      <c r="I479" s="18">
        <f t="shared" si="22"/>
        <v>3030</v>
      </c>
      <c r="J479" t="s">
        <v>6</v>
      </c>
    </row>
    <row r="480" spans="8:10" x14ac:dyDescent="0.25">
      <c r="H480" s="17">
        <f t="shared" si="23"/>
        <v>7.4926984788116213</v>
      </c>
      <c r="I480" s="18">
        <f t="shared" si="22"/>
        <v>3036</v>
      </c>
      <c r="J480" t="s">
        <v>6</v>
      </c>
    </row>
    <row r="481" spans="8:10" x14ac:dyDescent="0.25">
      <c r="H481" s="17">
        <f t="shared" si="23"/>
        <v>7.5084064420795702</v>
      </c>
      <c r="I481" s="18">
        <f t="shared" si="22"/>
        <v>3041</v>
      </c>
      <c r="J481" t="s">
        <v>6</v>
      </c>
    </row>
    <row r="482" spans="8:10" x14ac:dyDescent="0.25">
      <c r="H482" s="17">
        <f t="shared" si="23"/>
        <v>7.5241144053475191</v>
      </c>
      <c r="I482" s="18">
        <f t="shared" si="22"/>
        <v>3047</v>
      </c>
      <c r="J482" t="s">
        <v>6</v>
      </c>
    </row>
    <row r="483" spans="8:10" x14ac:dyDescent="0.25">
      <c r="H483" s="17">
        <f t="shared" si="23"/>
        <v>7.539822368615468</v>
      </c>
      <c r="I483" s="18">
        <f t="shared" si="22"/>
        <v>3052</v>
      </c>
      <c r="J483" t="s">
        <v>6</v>
      </c>
    </row>
    <row r="484" spans="8:10" x14ac:dyDescent="0.25">
      <c r="H484" s="17">
        <f t="shared" si="23"/>
        <v>7.5555303318834168</v>
      </c>
      <c r="I484" s="18">
        <f t="shared" si="22"/>
        <v>3057</v>
      </c>
      <c r="J484" t="s">
        <v>6</v>
      </c>
    </row>
    <row r="485" spans="8:10" x14ac:dyDescent="0.25">
      <c r="H485" s="17">
        <f t="shared" si="23"/>
        <v>7.5712382951513657</v>
      </c>
      <c r="I485" s="18">
        <f t="shared" si="22"/>
        <v>3061</v>
      </c>
      <c r="J485" t="s">
        <v>6</v>
      </c>
    </row>
    <row r="486" spans="8:10" x14ac:dyDescent="0.25">
      <c r="H486" s="17">
        <f t="shared" si="23"/>
        <v>7.5869462584193146</v>
      </c>
      <c r="I486" s="18">
        <f t="shared" si="22"/>
        <v>3066</v>
      </c>
      <c r="J486" t="s">
        <v>6</v>
      </c>
    </row>
    <row r="487" spans="8:10" x14ac:dyDescent="0.25">
      <c r="H487" s="17">
        <f t="shared" si="23"/>
        <v>7.6026542216872635</v>
      </c>
      <c r="I487" s="18">
        <f t="shared" si="22"/>
        <v>3070</v>
      </c>
      <c r="J487" t="s">
        <v>6</v>
      </c>
    </row>
    <row r="488" spans="8:10" x14ac:dyDescent="0.25">
      <c r="H488" s="17">
        <f t="shared" si="23"/>
        <v>7.6183621849552123</v>
      </c>
      <c r="I488" s="18">
        <f t="shared" si="22"/>
        <v>3074</v>
      </c>
      <c r="J488" t="s">
        <v>6</v>
      </c>
    </row>
    <row r="489" spans="8:10" x14ac:dyDescent="0.25">
      <c r="H489" s="17">
        <f t="shared" si="23"/>
        <v>7.6340701482231612</v>
      </c>
      <c r="I489" s="18">
        <f t="shared" si="22"/>
        <v>3077</v>
      </c>
      <c r="J489" t="s">
        <v>6</v>
      </c>
    </row>
    <row r="490" spans="8:10" x14ac:dyDescent="0.25">
      <c r="H490" s="17">
        <f t="shared" si="23"/>
        <v>7.6497781114911101</v>
      </c>
      <c r="I490" s="18">
        <f t="shared" si="22"/>
        <v>3081</v>
      </c>
      <c r="J490" t="s">
        <v>6</v>
      </c>
    </row>
    <row r="491" spans="8:10" x14ac:dyDescent="0.25">
      <c r="H491" s="17">
        <f t="shared" si="23"/>
        <v>7.665486074759059</v>
      </c>
      <c r="I491" s="18">
        <f t="shared" si="22"/>
        <v>3084</v>
      </c>
      <c r="J491" t="s">
        <v>6</v>
      </c>
    </row>
    <row r="492" spans="8:10" x14ac:dyDescent="0.25">
      <c r="H492" s="17">
        <f t="shared" si="23"/>
        <v>7.6811940380270078</v>
      </c>
      <c r="I492" s="18">
        <f t="shared" si="22"/>
        <v>3087</v>
      </c>
      <c r="J492" t="s">
        <v>6</v>
      </c>
    </row>
    <row r="493" spans="8:10" x14ac:dyDescent="0.25">
      <c r="H493" s="17">
        <f t="shared" si="23"/>
        <v>7.6969020012949567</v>
      </c>
      <c r="I493" s="18">
        <f t="shared" si="22"/>
        <v>3089</v>
      </c>
      <c r="J493" t="s">
        <v>6</v>
      </c>
    </row>
    <row r="494" spans="8:10" x14ac:dyDescent="0.25">
      <c r="H494" s="17">
        <f t="shared" si="23"/>
        <v>7.7126099645629056</v>
      </c>
      <c r="I494" s="18">
        <f t="shared" si="22"/>
        <v>3092</v>
      </c>
      <c r="J494" t="s">
        <v>6</v>
      </c>
    </row>
    <row r="495" spans="8:10" x14ac:dyDescent="0.25">
      <c r="H495" s="17">
        <f t="shared" si="23"/>
        <v>7.7283179278308545</v>
      </c>
      <c r="I495" s="18">
        <f t="shared" si="22"/>
        <v>3094</v>
      </c>
      <c r="J495" t="s">
        <v>6</v>
      </c>
    </row>
    <row r="496" spans="8:10" x14ac:dyDescent="0.25">
      <c r="H496" s="17">
        <f t="shared" si="23"/>
        <v>7.7440258910988033</v>
      </c>
      <c r="I496" s="18">
        <f t="shared" si="22"/>
        <v>3096</v>
      </c>
      <c r="J496" t="s">
        <v>6</v>
      </c>
    </row>
    <row r="497" spans="8:10" x14ac:dyDescent="0.25">
      <c r="H497" s="17">
        <f t="shared" si="23"/>
        <v>7.7597338543667522</v>
      </c>
      <c r="I497" s="18">
        <f t="shared" si="22"/>
        <v>3097</v>
      </c>
      <c r="J497" t="s">
        <v>6</v>
      </c>
    </row>
    <row r="498" spans="8:10" x14ac:dyDescent="0.25">
      <c r="H498" s="17">
        <f t="shared" si="23"/>
        <v>7.7754418176347011</v>
      </c>
      <c r="I498" s="18">
        <f t="shared" si="22"/>
        <v>3099</v>
      </c>
      <c r="J498" t="s">
        <v>6</v>
      </c>
    </row>
    <row r="499" spans="8:10" x14ac:dyDescent="0.25">
      <c r="H499" s="17">
        <f t="shared" si="23"/>
        <v>7.79114978090265</v>
      </c>
      <c r="I499" s="18">
        <f t="shared" si="22"/>
        <v>3100</v>
      </c>
      <c r="J499" t="s">
        <v>6</v>
      </c>
    </row>
    <row r="500" spans="8:10" x14ac:dyDescent="0.25">
      <c r="H500" s="17">
        <f t="shared" si="23"/>
        <v>7.8068577441705989</v>
      </c>
      <c r="I500" s="18">
        <f t="shared" si="22"/>
        <v>3101</v>
      </c>
      <c r="J500" t="s">
        <v>6</v>
      </c>
    </row>
    <row r="501" spans="8:10" x14ac:dyDescent="0.25">
      <c r="H501" s="17">
        <f t="shared" si="23"/>
        <v>7.8225657074385477</v>
      </c>
      <c r="I501" s="18">
        <f t="shared" si="22"/>
        <v>3101</v>
      </c>
      <c r="J501" t="s">
        <v>6</v>
      </c>
    </row>
    <row r="502" spans="8:10" x14ac:dyDescent="0.25">
      <c r="H502" s="17">
        <f t="shared" si="23"/>
        <v>7.8382736707064966</v>
      </c>
      <c r="I502" s="18">
        <f t="shared" si="22"/>
        <v>3102</v>
      </c>
      <c r="J502" t="s">
        <v>6</v>
      </c>
    </row>
    <row r="503" spans="8:10" x14ac:dyDescent="0.25">
      <c r="H503" s="17">
        <f t="shared" si="23"/>
        <v>7.8539816339744455</v>
      </c>
      <c r="I503" s="18">
        <f t="shared" si="22"/>
        <v>3102</v>
      </c>
      <c r="J503" t="s">
        <v>6</v>
      </c>
    </row>
    <row r="504" spans="8:10" x14ac:dyDescent="0.25">
      <c r="H504" s="17">
        <f t="shared" si="23"/>
        <v>7.8696895972423944</v>
      </c>
      <c r="I504" s="18">
        <f t="shared" si="22"/>
        <v>3102</v>
      </c>
      <c r="J504" t="s">
        <v>6</v>
      </c>
    </row>
    <row r="505" spans="8:10" x14ac:dyDescent="0.25">
      <c r="H505" s="17">
        <f t="shared" si="23"/>
        <v>7.8853975605103432</v>
      </c>
      <c r="I505" s="18">
        <f t="shared" si="22"/>
        <v>3101</v>
      </c>
      <c r="J505" t="s">
        <v>6</v>
      </c>
    </row>
    <row r="506" spans="8:10" x14ac:dyDescent="0.25">
      <c r="H506" s="17">
        <f t="shared" si="23"/>
        <v>7.9011055237782921</v>
      </c>
      <c r="I506" s="18">
        <f t="shared" si="22"/>
        <v>3101</v>
      </c>
      <c r="J506" t="s">
        <v>6</v>
      </c>
    </row>
    <row r="507" spans="8:10" x14ac:dyDescent="0.25">
      <c r="H507" s="17">
        <f t="shared" si="23"/>
        <v>7.916813487046241</v>
      </c>
      <c r="I507" s="18">
        <f t="shared" si="22"/>
        <v>3100</v>
      </c>
      <c r="J507" t="s">
        <v>6</v>
      </c>
    </row>
    <row r="508" spans="8:10" x14ac:dyDescent="0.25">
      <c r="H508" s="17">
        <f t="shared" si="23"/>
        <v>7.9325214503141899</v>
      </c>
      <c r="I508" s="18">
        <f t="shared" si="22"/>
        <v>3099</v>
      </c>
      <c r="J508" t="s">
        <v>6</v>
      </c>
    </row>
    <row r="509" spans="8:10" x14ac:dyDescent="0.25">
      <c r="H509" s="17">
        <f t="shared" si="23"/>
        <v>7.9482294135821387</v>
      </c>
      <c r="I509" s="18">
        <f t="shared" si="22"/>
        <v>3097</v>
      </c>
      <c r="J509" t="s">
        <v>6</v>
      </c>
    </row>
    <row r="510" spans="8:10" x14ac:dyDescent="0.25">
      <c r="H510" s="17">
        <f t="shared" si="23"/>
        <v>7.9639373768500876</v>
      </c>
      <c r="I510" s="18">
        <f t="shared" si="22"/>
        <v>3096</v>
      </c>
      <c r="J510" t="s">
        <v>6</v>
      </c>
    </row>
    <row r="511" spans="8:10" x14ac:dyDescent="0.25">
      <c r="H511" s="17">
        <f t="shared" si="23"/>
        <v>7.9796453401180365</v>
      </c>
      <c r="I511" s="18">
        <f t="shared" si="22"/>
        <v>3094</v>
      </c>
      <c r="J511" t="s">
        <v>6</v>
      </c>
    </row>
    <row r="512" spans="8:10" x14ac:dyDescent="0.25">
      <c r="H512" s="17">
        <f t="shared" si="23"/>
        <v>7.9953533033859854</v>
      </c>
      <c r="I512" s="18">
        <f t="shared" si="22"/>
        <v>3092</v>
      </c>
      <c r="J512" t="s">
        <v>6</v>
      </c>
    </row>
    <row r="513" spans="8:10" x14ac:dyDescent="0.25">
      <c r="H513" s="17">
        <f t="shared" si="23"/>
        <v>8.0110612666539343</v>
      </c>
      <c r="I513" s="18">
        <f t="shared" si="22"/>
        <v>3089</v>
      </c>
      <c r="J513" t="s">
        <v>6</v>
      </c>
    </row>
    <row r="514" spans="8:10" x14ac:dyDescent="0.25">
      <c r="H514" s="17">
        <f t="shared" si="23"/>
        <v>8.026769229921884</v>
      </c>
      <c r="I514" s="18">
        <f t="shared" si="22"/>
        <v>3087</v>
      </c>
      <c r="J514" t="s">
        <v>6</v>
      </c>
    </row>
    <row r="515" spans="8:10" x14ac:dyDescent="0.25">
      <c r="H515" s="17">
        <f t="shared" si="23"/>
        <v>8.0424771931898338</v>
      </c>
      <c r="I515" s="18">
        <f t="shared" ref="I515:I578" si="24">ROUND(SIN(H515)*$L$2+$L$1,0)</f>
        <v>3084</v>
      </c>
      <c r="J515" t="s">
        <v>6</v>
      </c>
    </row>
    <row r="516" spans="8:10" x14ac:dyDescent="0.25">
      <c r="H516" s="17">
        <f t="shared" si="23"/>
        <v>8.0581851564577835</v>
      </c>
      <c r="I516" s="18">
        <f t="shared" si="24"/>
        <v>3081</v>
      </c>
      <c r="J516" t="s">
        <v>6</v>
      </c>
    </row>
    <row r="517" spans="8:10" x14ac:dyDescent="0.25">
      <c r="H517" s="17">
        <f t="shared" si="23"/>
        <v>8.0738931197257333</v>
      </c>
      <c r="I517" s="18">
        <f t="shared" si="24"/>
        <v>3077</v>
      </c>
      <c r="J517" t="s">
        <v>6</v>
      </c>
    </row>
    <row r="518" spans="8:10" x14ac:dyDescent="0.25">
      <c r="H518" s="17">
        <f t="shared" ref="H518:H581" si="25">H517+$I$2</f>
        <v>8.0896010829936831</v>
      </c>
      <c r="I518" s="18">
        <f t="shared" si="24"/>
        <v>3074</v>
      </c>
      <c r="J518" t="s">
        <v>6</v>
      </c>
    </row>
    <row r="519" spans="8:10" x14ac:dyDescent="0.25">
      <c r="H519" s="17">
        <f t="shared" si="25"/>
        <v>8.1053090462616328</v>
      </c>
      <c r="I519" s="18">
        <f t="shared" si="24"/>
        <v>3070</v>
      </c>
      <c r="J519" t="s">
        <v>6</v>
      </c>
    </row>
    <row r="520" spans="8:10" x14ac:dyDescent="0.25">
      <c r="H520" s="17">
        <f t="shared" si="25"/>
        <v>8.1210170095295826</v>
      </c>
      <c r="I520" s="18">
        <f t="shared" si="24"/>
        <v>3066</v>
      </c>
      <c r="J520" t="s">
        <v>6</v>
      </c>
    </row>
    <row r="521" spans="8:10" x14ac:dyDescent="0.25">
      <c r="H521" s="17">
        <f t="shared" si="25"/>
        <v>8.1367249727975324</v>
      </c>
      <c r="I521" s="18">
        <f t="shared" si="24"/>
        <v>3061</v>
      </c>
      <c r="J521" t="s">
        <v>6</v>
      </c>
    </row>
    <row r="522" spans="8:10" x14ac:dyDescent="0.25">
      <c r="H522" s="17">
        <f t="shared" si="25"/>
        <v>8.1524329360654821</v>
      </c>
      <c r="I522" s="18">
        <f t="shared" si="24"/>
        <v>3057</v>
      </c>
      <c r="J522" t="s">
        <v>6</v>
      </c>
    </row>
    <row r="523" spans="8:10" x14ac:dyDescent="0.25">
      <c r="H523" s="17">
        <f t="shared" si="25"/>
        <v>8.1681408993334319</v>
      </c>
      <c r="I523" s="18">
        <f t="shared" si="24"/>
        <v>3052</v>
      </c>
      <c r="J523" t="s">
        <v>6</v>
      </c>
    </row>
    <row r="524" spans="8:10" x14ac:dyDescent="0.25">
      <c r="H524" s="17">
        <f t="shared" si="25"/>
        <v>8.1838488626013817</v>
      </c>
      <c r="I524" s="18">
        <f t="shared" si="24"/>
        <v>3047</v>
      </c>
      <c r="J524" t="s">
        <v>6</v>
      </c>
    </row>
    <row r="525" spans="8:10" x14ac:dyDescent="0.25">
      <c r="H525" s="17">
        <f t="shared" si="25"/>
        <v>8.1995568258693314</v>
      </c>
      <c r="I525" s="18">
        <f t="shared" si="24"/>
        <v>3041</v>
      </c>
      <c r="J525" t="s">
        <v>6</v>
      </c>
    </row>
    <row r="526" spans="8:10" x14ac:dyDescent="0.25">
      <c r="H526" s="17">
        <f t="shared" si="25"/>
        <v>8.2152647891372812</v>
      </c>
      <c r="I526" s="18">
        <f t="shared" si="24"/>
        <v>3036</v>
      </c>
      <c r="J526" t="s">
        <v>6</v>
      </c>
    </row>
    <row r="527" spans="8:10" x14ac:dyDescent="0.25">
      <c r="H527" s="17">
        <f t="shared" si="25"/>
        <v>8.230972752405231</v>
      </c>
      <c r="I527" s="18">
        <f t="shared" si="24"/>
        <v>3030</v>
      </c>
      <c r="J527" t="s">
        <v>6</v>
      </c>
    </row>
    <row r="528" spans="8:10" x14ac:dyDescent="0.25">
      <c r="H528" s="17">
        <f t="shared" si="25"/>
        <v>8.2466807156731807</v>
      </c>
      <c r="I528" s="18">
        <f t="shared" si="24"/>
        <v>3024</v>
      </c>
      <c r="J528" t="s">
        <v>6</v>
      </c>
    </row>
    <row r="529" spans="8:10" x14ac:dyDescent="0.25">
      <c r="H529" s="17">
        <f t="shared" si="25"/>
        <v>8.2623886789411305</v>
      </c>
      <c r="I529" s="18">
        <f t="shared" si="24"/>
        <v>3018</v>
      </c>
      <c r="J529" t="s">
        <v>6</v>
      </c>
    </row>
    <row r="530" spans="8:10" x14ac:dyDescent="0.25">
      <c r="H530" s="17">
        <f t="shared" si="25"/>
        <v>8.2780966422090803</v>
      </c>
      <c r="I530" s="18">
        <f t="shared" si="24"/>
        <v>3011</v>
      </c>
      <c r="J530" t="s">
        <v>6</v>
      </c>
    </row>
    <row r="531" spans="8:10" x14ac:dyDescent="0.25">
      <c r="H531" s="17">
        <f t="shared" si="25"/>
        <v>8.29380460547703</v>
      </c>
      <c r="I531" s="18">
        <f t="shared" si="24"/>
        <v>3005</v>
      </c>
      <c r="J531" t="s">
        <v>6</v>
      </c>
    </row>
    <row r="532" spans="8:10" x14ac:dyDescent="0.25">
      <c r="H532" s="17">
        <f t="shared" si="25"/>
        <v>8.3095125687449798</v>
      </c>
      <c r="I532" s="18">
        <f t="shared" si="24"/>
        <v>2998</v>
      </c>
      <c r="J532" t="s">
        <v>6</v>
      </c>
    </row>
    <row r="533" spans="8:10" x14ac:dyDescent="0.25">
      <c r="H533" s="17">
        <f t="shared" si="25"/>
        <v>8.3252205320129296</v>
      </c>
      <c r="I533" s="18">
        <f t="shared" si="24"/>
        <v>2990</v>
      </c>
      <c r="J533" t="s">
        <v>6</v>
      </c>
    </row>
    <row r="534" spans="8:10" x14ac:dyDescent="0.25">
      <c r="H534" s="17">
        <f t="shared" si="25"/>
        <v>8.3409284952808793</v>
      </c>
      <c r="I534" s="18">
        <f t="shared" si="24"/>
        <v>2983</v>
      </c>
      <c r="J534" t="s">
        <v>6</v>
      </c>
    </row>
    <row r="535" spans="8:10" x14ac:dyDescent="0.25">
      <c r="H535" s="17">
        <f t="shared" si="25"/>
        <v>8.3566364585488291</v>
      </c>
      <c r="I535" s="18">
        <f t="shared" si="24"/>
        <v>2975</v>
      </c>
      <c r="J535" t="s">
        <v>6</v>
      </c>
    </row>
    <row r="536" spans="8:10" x14ac:dyDescent="0.25">
      <c r="H536" s="17">
        <f t="shared" si="25"/>
        <v>8.3723444218167788</v>
      </c>
      <c r="I536" s="18">
        <f t="shared" si="24"/>
        <v>2967</v>
      </c>
      <c r="J536" t="s">
        <v>6</v>
      </c>
    </row>
    <row r="537" spans="8:10" x14ac:dyDescent="0.25">
      <c r="H537" s="17">
        <f t="shared" si="25"/>
        <v>8.3880523850847286</v>
      </c>
      <c r="I537" s="18">
        <f t="shared" si="24"/>
        <v>2959</v>
      </c>
      <c r="J537" t="s">
        <v>6</v>
      </c>
    </row>
    <row r="538" spans="8:10" x14ac:dyDescent="0.25">
      <c r="H538" s="17">
        <f t="shared" si="25"/>
        <v>8.4037603483526784</v>
      </c>
      <c r="I538" s="18">
        <f t="shared" si="24"/>
        <v>2951</v>
      </c>
      <c r="J538" t="s">
        <v>6</v>
      </c>
    </row>
    <row r="539" spans="8:10" x14ac:dyDescent="0.25">
      <c r="H539" s="17">
        <f t="shared" si="25"/>
        <v>8.4194683116206281</v>
      </c>
      <c r="I539" s="18">
        <f t="shared" si="24"/>
        <v>2943</v>
      </c>
      <c r="J539" t="s">
        <v>6</v>
      </c>
    </row>
    <row r="540" spans="8:10" x14ac:dyDescent="0.25">
      <c r="H540" s="17">
        <f t="shared" si="25"/>
        <v>8.4351762748885779</v>
      </c>
      <c r="I540" s="18">
        <f t="shared" si="24"/>
        <v>2934</v>
      </c>
      <c r="J540" t="s">
        <v>6</v>
      </c>
    </row>
    <row r="541" spans="8:10" x14ac:dyDescent="0.25">
      <c r="H541" s="17">
        <f t="shared" si="25"/>
        <v>8.4508842381565277</v>
      </c>
      <c r="I541" s="18">
        <f t="shared" si="24"/>
        <v>2925</v>
      </c>
      <c r="J541" t="s">
        <v>6</v>
      </c>
    </row>
    <row r="542" spans="8:10" x14ac:dyDescent="0.25">
      <c r="H542" s="17">
        <f t="shared" si="25"/>
        <v>8.4665922014244774</v>
      </c>
      <c r="I542" s="18">
        <f t="shared" si="24"/>
        <v>2916</v>
      </c>
      <c r="J542" t="s">
        <v>6</v>
      </c>
    </row>
    <row r="543" spans="8:10" x14ac:dyDescent="0.25">
      <c r="H543" s="17">
        <f t="shared" si="25"/>
        <v>8.4823001646924272</v>
      </c>
      <c r="I543" s="18">
        <f t="shared" si="24"/>
        <v>2906</v>
      </c>
      <c r="J543" t="s">
        <v>6</v>
      </c>
    </row>
    <row r="544" spans="8:10" x14ac:dyDescent="0.25">
      <c r="H544" s="17">
        <f t="shared" si="25"/>
        <v>8.498008127960377</v>
      </c>
      <c r="I544" s="18">
        <f t="shared" si="24"/>
        <v>2897</v>
      </c>
      <c r="J544" t="s">
        <v>6</v>
      </c>
    </row>
    <row r="545" spans="8:10" x14ac:dyDescent="0.25">
      <c r="H545" s="17">
        <f t="shared" si="25"/>
        <v>8.5137160912283267</v>
      </c>
      <c r="I545" s="18">
        <f t="shared" si="24"/>
        <v>2887</v>
      </c>
      <c r="J545" t="s">
        <v>6</v>
      </c>
    </row>
    <row r="546" spans="8:10" x14ac:dyDescent="0.25">
      <c r="H546" s="17">
        <f t="shared" si="25"/>
        <v>8.5294240544962765</v>
      </c>
      <c r="I546" s="18">
        <f t="shared" si="24"/>
        <v>2877</v>
      </c>
      <c r="J546" t="s">
        <v>6</v>
      </c>
    </row>
    <row r="547" spans="8:10" x14ac:dyDescent="0.25">
      <c r="H547" s="17">
        <f t="shared" si="25"/>
        <v>8.5451320177642263</v>
      </c>
      <c r="I547" s="18">
        <f t="shared" si="24"/>
        <v>2867</v>
      </c>
      <c r="J547" t="s">
        <v>6</v>
      </c>
    </row>
    <row r="548" spans="8:10" x14ac:dyDescent="0.25">
      <c r="H548" s="17">
        <f t="shared" si="25"/>
        <v>8.560839981032176</v>
      </c>
      <c r="I548" s="18">
        <f t="shared" si="24"/>
        <v>2857</v>
      </c>
      <c r="J548" t="s">
        <v>6</v>
      </c>
    </row>
    <row r="549" spans="8:10" x14ac:dyDescent="0.25">
      <c r="H549" s="17">
        <f t="shared" si="25"/>
        <v>8.5765479443001258</v>
      </c>
      <c r="I549" s="18">
        <f t="shared" si="24"/>
        <v>2846</v>
      </c>
      <c r="J549" t="s">
        <v>6</v>
      </c>
    </row>
    <row r="550" spans="8:10" x14ac:dyDescent="0.25">
      <c r="H550" s="17">
        <f t="shared" si="25"/>
        <v>8.5922559075680756</v>
      </c>
      <c r="I550" s="18">
        <f t="shared" si="24"/>
        <v>2835</v>
      </c>
      <c r="J550" t="s">
        <v>6</v>
      </c>
    </row>
    <row r="551" spans="8:10" x14ac:dyDescent="0.25">
      <c r="H551" s="17">
        <f t="shared" si="25"/>
        <v>8.6079638708360253</v>
      </c>
      <c r="I551" s="18">
        <f t="shared" si="24"/>
        <v>2824</v>
      </c>
      <c r="J551" t="s">
        <v>6</v>
      </c>
    </row>
    <row r="552" spans="8:10" x14ac:dyDescent="0.25">
      <c r="H552" s="17">
        <f t="shared" si="25"/>
        <v>8.6236718341039751</v>
      </c>
      <c r="I552" s="18">
        <f t="shared" si="24"/>
        <v>2813</v>
      </c>
      <c r="J552" t="s">
        <v>6</v>
      </c>
    </row>
    <row r="553" spans="8:10" x14ac:dyDescent="0.25">
      <c r="H553" s="17">
        <f t="shared" si="25"/>
        <v>8.6393797973719249</v>
      </c>
      <c r="I553" s="18">
        <f t="shared" si="24"/>
        <v>2802</v>
      </c>
      <c r="J553" t="s">
        <v>6</v>
      </c>
    </row>
    <row r="554" spans="8:10" x14ac:dyDescent="0.25">
      <c r="H554" s="17">
        <f t="shared" si="25"/>
        <v>8.6550877606398746</v>
      </c>
      <c r="I554" s="18">
        <f t="shared" si="24"/>
        <v>2791</v>
      </c>
      <c r="J554" t="s">
        <v>6</v>
      </c>
    </row>
    <row r="555" spans="8:10" x14ac:dyDescent="0.25">
      <c r="H555" s="17">
        <f t="shared" si="25"/>
        <v>8.6707957239078244</v>
      </c>
      <c r="I555" s="18">
        <f t="shared" si="24"/>
        <v>2779</v>
      </c>
      <c r="J555" t="s">
        <v>6</v>
      </c>
    </row>
    <row r="556" spans="8:10" x14ac:dyDescent="0.25">
      <c r="H556" s="17">
        <f t="shared" si="25"/>
        <v>8.6865036871757741</v>
      </c>
      <c r="I556" s="18">
        <f t="shared" si="24"/>
        <v>2767</v>
      </c>
      <c r="J556" t="s">
        <v>6</v>
      </c>
    </row>
    <row r="557" spans="8:10" x14ac:dyDescent="0.25">
      <c r="H557" s="17">
        <f t="shared" si="25"/>
        <v>8.7022116504437239</v>
      </c>
      <c r="I557" s="18">
        <f t="shared" si="24"/>
        <v>2755</v>
      </c>
      <c r="J557" t="s">
        <v>6</v>
      </c>
    </row>
    <row r="558" spans="8:10" x14ac:dyDescent="0.25">
      <c r="H558" s="17">
        <f t="shared" si="25"/>
        <v>8.7179196137116737</v>
      </c>
      <c r="I558" s="18">
        <f t="shared" si="24"/>
        <v>2743</v>
      </c>
      <c r="J558" t="s">
        <v>6</v>
      </c>
    </row>
    <row r="559" spans="8:10" x14ac:dyDescent="0.25">
      <c r="H559" s="17">
        <f t="shared" si="25"/>
        <v>8.7336275769796234</v>
      </c>
      <c r="I559" s="18">
        <f t="shared" si="24"/>
        <v>2731</v>
      </c>
      <c r="J559" t="s">
        <v>6</v>
      </c>
    </row>
    <row r="560" spans="8:10" x14ac:dyDescent="0.25">
      <c r="H560" s="17">
        <f t="shared" si="25"/>
        <v>8.7493355402475732</v>
      </c>
      <c r="I560" s="18">
        <f t="shared" si="24"/>
        <v>2718</v>
      </c>
      <c r="J560" t="s">
        <v>6</v>
      </c>
    </row>
    <row r="561" spans="8:10" x14ac:dyDescent="0.25">
      <c r="H561" s="17">
        <f t="shared" si="25"/>
        <v>8.765043503515523</v>
      </c>
      <c r="I561" s="18">
        <f t="shared" si="24"/>
        <v>2706</v>
      </c>
      <c r="J561" t="s">
        <v>6</v>
      </c>
    </row>
    <row r="562" spans="8:10" x14ac:dyDescent="0.25">
      <c r="H562" s="17">
        <f t="shared" si="25"/>
        <v>8.7807514667834727</v>
      </c>
      <c r="I562" s="18">
        <f t="shared" si="24"/>
        <v>2693</v>
      </c>
      <c r="J562" t="s">
        <v>6</v>
      </c>
    </row>
    <row r="563" spans="8:10" x14ac:dyDescent="0.25">
      <c r="H563" s="17">
        <f t="shared" si="25"/>
        <v>8.7964594300514225</v>
      </c>
      <c r="I563" s="18">
        <f t="shared" si="24"/>
        <v>2680</v>
      </c>
      <c r="J563" t="s">
        <v>6</v>
      </c>
    </row>
    <row r="564" spans="8:10" x14ac:dyDescent="0.25">
      <c r="H564" s="17">
        <f t="shared" si="25"/>
        <v>8.8121673933193723</v>
      </c>
      <c r="I564" s="18">
        <f t="shared" si="24"/>
        <v>2667</v>
      </c>
      <c r="J564" t="s">
        <v>6</v>
      </c>
    </row>
    <row r="565" spans="8:10" x14ac:dyDescent="0.25">
      <c r="H565" s="17">
        <f t="shared" si="25"/>
        <v>8.827875356587322</v>
      </c>
      <c r="I565" s="18">
        <f t="shared" si="24"/>
        <v>2654</v>
      </c>
      <c r="J565" t="s">
        <v>6</v>
      </c>
    </row>
    <row r="566" spans="8:10" x14ac:dyDescent="0.25">
      <c r="H566" s="17">
        <f t="shared" si="25"/>
        <v>8.8435833198552718</v>
      </c>
      <c r="I566" s="18">
        <f t="shared" si="24"/>
        <v>2640</v>
      </c>
      <c r="J566" t="s">
        <v>6</v>
      </c>
    </row>
    <row r="567" spans="8:10" x14ac:dyDescent="0.25">
      <c r="H567" s="17">
        <f t="shared" si="25"/>
        <v>8.8592912831232216</v>
      </c>
      <c r="I567" s="18">
        <f t="shared" si="24"/>
        <v>2627</v>
      </c>
      <c r="J567" t="s">
        <v>6</v>
      </c>
    </row>
    <row r="568" spans="8:10" x14ac:dyDescent="0.25">
      <c r="H568" s="17">
        <f t="shared" si="25"/>
        <v>8.8749992463911713</v>
      </c>
      <c r="I568" s="18">
        <f t="shared" si="24"/>
        <v>2613</v>
      </c>
      <c r="J568" t="s">
        <v>6</v>
      </c>
    </row>
    <row r="569" spans="8:10" x14ac:dyDescent="0.25">
      <c r="H569" s="17">
        <f t="shared" si="25"/>
        <v>8.8907072096591211</v>
      </c>
      <c r="I569" s="18">
        <f t="shared" si="24"/>
        <v>2599</v>
      </c>
      <c r="J569" t="s">
        <v>6</v>
      </c>
    </row>
    <row r="570" spans="8:10" x14ac:dyDescent="0.25">
      <c r="H570" s="17">
        <f t="shared" si="25"/>
        <v>8.9064151729270709</v>
      </c>
      <c r="I570" s="18">
        <f t="shared" si="24"/>
        <v>2585</v>
      </c>
      <c r="J570" t="s">
        <v>6</v>
      </c>
    </row>
    <row r="571" spans="8:10" x14ac:dyDescent="0.25">
      <c r="H571" s="17">
        <f t="shared" si="25"/>
        <v>8.9221231361950206</v>
      </c>
      <c r="I571" s="18">
        <f t="shared" si="24"/>
        <v>2571</v>
      </c>
      <c r="J571" t="s">
        <v>6</v>
      </c>
    </row>
    <row r="572" spans="8:10" x14ac:dyDescent="0.25">
      <c r="H572" s="17">
        <f t="shared" si="25"/>
        <v>8.9378310994629704</v>
      </c>
      <c r="I572" s="18">
        <f t="shared" si="24"/>
        <v>2557</v>
      </c>
      <c r="J572" t="s">
        <v>6</v>
      </c>
    </row>
    <row r="573" spans="8:10" x14ac:dyDescent="0.25">
      <c r="H573" s="17">
        <f t="shared" si="25"/>
        <v>8.9535390627309202</v>
      </c>
      <c r="I573" s="18">
        <f t="shared" si="24"/>
        <v>2543</v>
      </c>
      <c r="J573" t="s">
        <v>6</v>
      </c>
    </row>
    <row r="574" spans="8:10" x14ac:dyDescent="0.25">
      <c r="H574" s="17">
        <f t="shared" si="25"/>
        <v>8.9692470259988699</v>
      </c>
      <c r="I574" s="18">
        <f t="shared" si="24"/>
        <v>2528</v>
      </c>
      <c r="J574" t="s">
        <v>6</v>
      </c>
    </row>
    <row r="575" spans="8:10" x14ac:dyDescent="0.25">
      <c r="H575" s="17">
        <f t="shared" si="25"/>
        <v>8.9849549892668197</v>
      </c>
      <c r="I575" s="18">
        <f t="shared" si="24"/>
        <v>2514</v>
      </c>
      <c r="J575" t="s">
        <v>6</v>
      </c>
    </row>
    <row r="576" spans="8:10" x14ac:dyDescent="0.25">
      <c r="H576" s="17">
        <f t="shared" si="25"/>
        <v>9.0006629525347694</v>
      </c>
      <c r="I576" s="18">
        <f t="shared" si="24"/>
        <v>2499</v>
      </c>
      <c r="J576" t="s">
        <v>6</v>
      </c>
    </row>
    <row r="577" spans="8:10" x14ac:dyDescent="0.25">
      <c r="H577" s="17">
        <f t="shared" si="25"/>
        <v>9.0163709158027192</v>
      </c>
      <c r="I577" s="18">
        <f t="shared" si="24"/>
        <v>2485</v>
      </c>
      <c r="J577" t="s">
        <v>6</v>
      </c>
    </row>
    <row r="578" spans="8:10" x14ac:dyDescent="0.25">
      <c r="H578" s="17">
        <f t="shared" si="25"/>
        <v>9.032078879070669</v>
      </c>
      <c r="I578" s="18">
        <f t="shared" si="24"/>
        <v>2470</v>
      </c>
      <c r="J578" t="s">
        <v>6</v>
      </c>
    </row>
    <row r="579" spans="8:10" x14ac:dyDescent="0.25">
      <c r="H579" s="17">
        <f t="shared" si="25"/>
        <v>9.0477868423386187</v>
      </c>
      <c r="I579" s="18">
        <f t="shared" ref="I579:I642" si="26">ROUND(SIN(H579)*$L$2+$L$1,0)</f>
        <v>2455</v>
      </c>
      <c r="J579" t="s">
        <v>6</v>
      </c>
    </row>
    <row r="580" spans="8:10" x14ac:dyDescent="0.25">
      <c r="H580" s="17">
        <f t="shared" si="25"/>
        <v>9.0634948056065685</v>
      </c>
      <c r="I580" s="18">
        <f t="shared" si="26"/>
        <v>2440</v>
      </c>
      <c r="J580" t="s">
        <v>6</v>
      </c>
    </row>
    <row r="581" spans="8:10" x14ac:dyDescent="0.25">
      <c r="H581" s="17">
        <f t="shared" si="25"/>
        <v>9.0792027688745183</v>
      </c>
      <c r="I581" s="18">
        <f t="shared" si="26"/>
        <v>2425</v>
      </c>
      <c r="J581" t="s">
        <v>6</v>
      </c>
    </row>
    <row r="582" spans="8:10" x14ac:dyDescent="0.25">
      <c r="H582" s="17">
        <f t="shared" ref="H582:H645" si="27">H581+$I$2</f>
        <v>9.094910732142468</v>
      </c>
      <c r="I582" s="18">
        <f t="shared" si="26"/>
        <v>2410</v>
      </c>
      <c r="J582" t="s">
        <v>6</v>
      </c>
    </row>
    <row r="583" spans="8:10" x14ac:dyDescent="0.25">
      <c r="H583" s="17">
        <f t="shared" si="27"/>
        <v>9.1106186954104178</v>
      </c>
      <c r="I583" s="18">
        <f t="shared" si="26"/>
        <v>2394</v>
      </c>
      <c r="J583" t="s">
        <v>6</v>
      </c>
    </row>
    <row r="584" spans="8:10" x14ac:dyDescent="0.25">
      <c r="H584" s="17">
        <f t="shared" si="27"/>
        <v>9.1263266586783676</v>
      </c>
      <c r="I584" s="18">
        <f t="shared" si="26"/>
        <v>2379</v>
      </c>
      <c r="J584" t="s">
        <v>6</v>
      </c>
    </row>
    <row r="585" spans="8:10" x14ac:dyDescent="0.25">
      <c r="H585" s="17">
        <f t="shared" si="27"/>
        <v>9.1420346219463173</v>
      </c>
      <c r="I585" s="18">
        <f t="shared" si="26"/>
        <v>2364</v>
      </c>
      <c r="J585" t="s">
        <v>6</v>
      </c>
    </row>
    <row r="586" spans="8:10" x14ac:dyDescent="0.25">
      <c r="H586" s="17">
        <f t="shared" si="27"/>
        <v>9.1577425852142671</v>
      </c>
      <c r="I586" s="18">
        <f t="shared" si="26"/>
        <v>2348</v>
      </c>
      <c r="J586" t="s">
        <v>6</v>
      </c>
    </row>
    <row r="587" spans="8:10" x14ac:dyDescent="0.25">
      <c r="H587" s="17">
        <f t="shared" si="27"/>
        <v>9.1734505484822169</v>
      </c>
      <c r="I587" s="18">
        <f t="shared" si="26"/>
        <v>2333</v>
      </c>
      <c r="J587" t="s">
        <v>6</v>
      </c>
    </row>
    <row r="588" spans="8:10" x14ac:dyDescent="0.25">
      <c r="H588" s="17">
        <f t="shared" si="27"/>
        <v>9.1891585117501666</v>
      </c>
      <c r="I588" s="18">
        <f t="shared" si="26"/>
        <v>2317</v>
      </c>
      <c r="J588" t="s">
        <v>6</v>
      </c>
    </row>
    <row r="589" spans="8:10" x14ac:dyDescent="0.25">
      <c r="H589" s="17">
        <f t="shared" si="27"/>
        <v>9.2048664750181164</v>
      </c>
      <c r="I589" s="18">
        <f t="shared" si="26"/>
        <v>2301</v>
      </c>
      <c r="J589" t="s">
        <v>6</v>
      </c>
    </row>
    <row r="590" spans="8:10" x14ac:dyDescent="0.25">
      <c r="H590" s="17">
        <f t="shared" si="27"/>
        <v>9.2205744382860662</v>
      </c>
      <c r="I590" s="18">
        <f t="shared" si="26"/>
        <v>2286</v>
      </c>
      <c r="J590" t="s">
        <v>6</v>
      </c>
    </row>
    <row r="591" spans="8:10" x14ac:dyDescent="0.25">
      <c r="H591" s="17">
        <f t="shared" si="27"/>
        <v>9.2362824015540159</v>
      </c>
      <c r="I591" s="18">
        <f t="shared" si="26"/>
        <v>2270</v>
      </c>
      <c r="J591" t="s">
        <v>6</v>
      </c>
    </row>
    <row r="592" spans="8:10" x14ac:dyDescent="0.25">
      <c r="H592" s="17">
        <f t="shared" si="27"/>
        <v>9.2519903648219657</v>
      </c>
      <c r="I592" s="18">
        <f t="shared" si="26"/>
        <v>2254</v>
      </c>
      <c r="J592" t="s">
        <v>6</v>
      </c>
    </row>
    <row r="593" spans="8:10" x14ac:dyDescent="0.25">
      <c r="H593" s="17">
        <f t="shared" si="27"/>
        <v>9.2676983280899154</v>
      </c>
      <c r="I593" s="18">
        <f t="shared" si="26"/>
        <v>2238</v>
      </c>
      <c r="J593" t="s">
        <v>6</v>
      </c>
    </row>
    <row r="594" spans="8:10" x14ac:dyDescent="0.25">
      <c r="H594" s="17">
        <f t="shared" si="27"/>
        <v>9.2834062913578652</v>
      </c>
      <c r="I594" s="18">
        <f t="shared" si="26"/>
        <v>2222</v>
      </c>
      <c r="J594" t="s">
        <v>6</v>
      </c>
    </row>
    <row r="595" spans="8:10" x14ac:dyDescent="0.25">
      <c r="H595" s="17">
        <f t="shared" si="27"/>
        <v>9.299114254625815</v>
      </c>
      <c r="I595" s="18">
        <f t="shared" si="26"/>
        <v>2206</v>
      </c>
      <c r="J595" t="s">
        <v>6</v>
      </c>
    </row>
    <row r="596" spans="8:10" x14ac:dyDescent="0.25">
      <c r="H596" s="17">
        <f t="shared" si="27"/>
        <v>9.3148222178937647</v>
      </c>
      <c r="I596" s="18">
        <f t="shared" si="26"/>
        <v>2190</v>
      </c>
      <c r="J596" t="s">
        <v>6</v>
      </c>
    </row>
    <row r="597" spans="8:10" x14ac:dyDescent="0.25">
      <c r="H597" s="17">
        <f t="shared" si="27"/>
        <v>9.3305301811617145</v>
      </c>
      <c r="I597" s="18">
        <f t="shared" si="26"/>
        <v>2174</v>
      </c>
      <c r="J597" t="s">
        <v>6</v>
      </c>
    </row>
    <row r="598" spans="8:10" x14ac:dyDescent="0.25">
      <c r="H598" s="17">
        <f t="shared" si="27"/>
        <v>9.3462381444296643</v>
      </c>
      <c r="I598" s="18">
        <f t="shared" si="26"/>
        <v>2158</v>
      </c>
      <c r="J598" t="s">
        <v>6</v>
      </c>
    </row>
    <row r="599" spans="8:10" x14ac:dyDescent="0.25">
      <c r="H599" s="17">
        <f t="shared" si="27"/>
        <v>9.361946107697614</v>
      </c>
      <c r="I599" s="18">
        <f t="shared" si="26"/>
        <v>2142</v>
      </c>
      <c r="J599" t="s">
        <v>6</v>
      </c>
    </row>
    <row r="600" spans="8:10" x14ac:dyDescent="0.25">
      <c r="H600" s="17">
        <f t="shared" si="27"/>
        <v>9.3776540709655638</v>
      </c>
      <c r="I600" s="18">
        <f t="shared" si="26"/>
        <v>2126</v>
      </c>
      <c r="J600" t="s">
        <v>6</v>
      </c>
    </row>
    <row r="601" spans="8:10" x14ac:dyDescent="0.25">
      <c r="H601" s="17">
        <f t="shared" si="27"/>
        <v>9.3933620342335136</v>
      </c>
      <c r="I601" s="18">
        <f t="shared" si="26"/>
        <v>2110</v>
      </c>
      <c r="J601" t="s">
        <v>6</v>
      </c>
    </row>
    <row r="602" spans="8:10" x14ac:dyDescent="0.25">
      <c r="H602" s="17">
        <f t="shared" si="27"/>
        <v>9.4090699975014633</v>
      </c>
      <c r="I602" s="18">
        <f t="shared" si="26"/>
        <v>2094</v>
      </c>
      <c r="J602" t="s">
        <v>6</v>
      </c>
    </row>
    <row r="603" spans="8:10" x14ac:dyDescent="0.25">
      <c r="H603" s="17">
        <f t="shared" si="27"/>
        <v>9.4247779607694131</v>
      </c>
      <c r="I603" s="18">
        <f t="shared" si="26"/>
        <v>2078</v>
      </c>
      <c r="J603" t="s">
        <v>6</v>
      </c>
    </row>
    <row r="604" spans="8:10" x14ac:dyDescent="0.25">
      <c r="H604" s="17">
        <f t="shared" si="27"/>
        <v>9.4404859240373629</v>
      </c>
      <c r="I604" s="18">
        <f t="shared" si="26"/>
        <v>2062</v>
      </c>
      <c r="J604" t="s">
        <v>6</v>
      </c>
    </row>
    <row r="605" spans="8:10" x14ac:dyDescent="0.25">
      <c r="H605" s="17">
        <f t="shared" si="27"/>
        <v>9.4561938873053126</v>
      </c>
      <c r="I605" s="18">
        <f t="shared" si="26"/>
        <v>2046</v>
      </c>
      <c r="J605" t="s">
        <v>6</v>
      </c>
    </row>
    <row r="606" spans="8:10" x14ac:dyDescent="0.25">
      <c r="H606" s="17">
        <f t="shared" si="27"/>
        <v>9.4719018505732624</v>
      </c>
      <c r="I606" s="18">
        <f t="shared" si="26"/>
        <v>2030</v>
      </c>
      <c r="J606" t="s">
        <v>6</v>
      </c>
    </row>
    <row r="607" spans="8:10" x14ac:dyDescent="0.25">
      <c r="H607" s="17">
        <f t="shared" si="27"/>
        <v>9.4876098138412122</v>
      </c>
      <c r="I607" s="18">
        <f t="shared" si="26"/>
        <v>2014</v>
      </c>
      <c r="J607" t="s">
        <v>6</v>
      </c>
    </row>
    <row r="608" spans="8:10" x14ac:dyDescent="0.25">
      <c r="H608" s="17">
        <f t="shared" si="27"/>
        <v>9.5033177771091619</v>
      </c>
      <c r="I608" s="18">
        <f t="shared" si="26"/>
        <v>1998</v>
      </c>
      <c r="J608" t="s">
        <v>6</v>
      </c>
    </row>
    <row r="609" spans="8:10" x14ac:dyDescent="0.25">
      <c r="H609" s="17">
        <f t="shared" si="27"/>
        <v>9.5190257403771117</v>
      </c>
      <c r="I609" s="18">
        <f t="shared" si="26"/>
        <v>1982</v>
      </c>
      <c r="J609" t="s">
        <v>6</v>
      </c>
    </row>
    <row r="610" spans="8:10" x14ac:dyDescent="0.25">
      <c r="H610" s="17">
        <f t="shared" si="27"/>
        <v>9.5347337036450615</v>
      </c>
      <c r="I610" s="18">
        <f t="shared" si="26"/>
        <v>1966</v>
      </c>
      <c r="J610" t="s">
        <v>6</v>
      </c>
    </row>
    <row r="611" spans="8:10" x14ac:dyDescent="0.25">
      <c r="H611" s="17">
        <f t="shared" si="27"/>
        <v>9.5504416669130112</v>
      </c>
      <c r="I611" s="18">
        <f t="shared" si="26"/>
        <v>1950</v>
      </c>
      <c r="J611" t="s">
        <v>6</v>
      </c>
    </row>
    <row r="612" spans="8:10" x14ac:dyDescent="0.25">
      <c r="H612" s="17">
        <f t="shared" si="27"/>
        <v>9.566149630180961</v>
      </c>
      <c r="I612" s="18">
        <f t="shared" si="26"/>
        <v>1934</v>
      </c>
      <c r="J612" t="s">
        <v>6</v>
      </c>
    </row>
    <row r="613" spans="8:10" x14ac:dyDescent="0.25">
      <c r="H613" s="17">
        <f t="shared" si="27"/>
        <v>9.5818575934489107</v>
      </c>
      <c r="I613" s="18">
        <f t="shared" si="26"/>
        <v>1918</v>
      </c>
      <c r="J613" t="s">
        <v>6</v>
      </c>
    </row>
    <row r="614" spans="8:10" x14ac:dyDescent="0.25">
      <c r="H614" s="17">
        <f t="shared" si="27"/>
        <v>9.5975655567168605</v>
      </c>
      <c r="I614" s="18">
        <f t="shared" si="26"/>
        <v>1902</v>
      </c>
      <c r="J614" t="s">
        <v>6</v>
      </c>
    </row>
    <row r="615" spans="8:10" x14ac:dyDescent="0.25">
      <c r="H615" s="17">
        <f t="shared" si="27"/>
        <v>9.6132735199848103</v>
      </c>
      <c r="I615" s="18">
        <f t="shared" si="26"/>
        <v>1886</v>
      </c>
      <c r="J615" t="s">
        <v>6</v>
      </c>
    </row>
    <row r="616" spans="8:10" x14ac:dyDescent="0.25">
      <c r="H616" s="17">
        <f t="shared" si="27"/>
        <v>9.62898148325276</v>
      </c>
      <c r="I616" s="18">
        <f t="shared" si="26"/>
        <v>1870</v>
      </c>
      <c r="J616" t="s">
        <v>6</v>
      </c>
    </row>
    <row r="617" spans="8:10" x14ac:dyDescent="0.25">
      <c r="H617" s="17">
        <f t="shared" si="27"/>
        <v>9.6446894465207098</v>
      </c>
      <c r="I617" s="18">
        <f t="shared" si="26"/>
        <v>1855</v>
      </c>
      <c r="J617" t="s">
        <v>6</v>
      </c>
    </row>
    <row r="618" spans="8:10" x14ac:dyDescent="0.25">
      <c r="H618" s="17">
        <f t="shared" si="27"/>
        <v>9.6603974097886596</v>
      </c>
      <c r="I618" s="18">
        <f t="shared" si="26"/>
        <v>1839</v>
      </c>
      <c r="J618" t="s">
        <v>6</v>
      </c>
    </row>
    <row r="619" spans="8:10" x14ac:dyDescent="0.25">
      <c r="H619" s="17">
        <f t="shared" si="27"/>
        <v>9.6761053730566093</v>
      </c>
      <c r="I619" s="18">
        <f t="shared" si="26"/>
        <v>1823</v>
      </c>
      <c r="J619" t="s">
        <v>6</v>
      </c>
    </row>
    <row r="620" spans="8:10" x14ac:dyDescent="0.25">
      <c r="H620" s="17">
        <f t="shared" si="27"/>
        <v>9.6918133363245591</v>
      </c>
      <c r="I620" s="18">
        <f t="shared" si="26"/>
        <v>1808</v>
      </c>
      <c r="J620" t="s">
        <v>6</v>
      </c>
    </row>
    <row r="621" spans="8:10" x14ac:dyDescent="0.25">
      <c r="H621" s="17">
        <f t="shared" si="27"/>
        <v>9.7075212995925089</v>
      </c>
      <c r="I621" s="18">
        <f t="shared" si="26"/>
        <v>1792</v>
      </c>
      <c r="J621" t="s">
        <v>6</v>
      </c>
    </row>
    <row r="622" spans="8:10" x14ac:dyDescent="0.25">
      <c r="H622" s="17">
        <f t="shared" si="27"/>
        <v>9.7232292628604586</v>
      </c>
      <c r="I622" s="18">
        <f t="shared" si="26"/>
        <v>1777</v>
      </c>
      <c r="J622" t="s">
        <v>6</v>
      </c>
    </row>
    <row r="623" spans="8:10" x14ac:dyDescent="0.25">
      <c r="H623" s="17">
        <f t="shared" si="27"/>
        <v>9.7389372261284084</v>
      </c>
      <c r="I623" s="18">
        <f t="shared" si="26"/>
        <v>1762</v>
      </c>
      <c r="J623" t="s">
        <v>6</v>
      </c>
    </row>
    <row r="624" spans="8:10" x14ac:dyDescent="0.25">
      <c r="H624" s="17">
        <f t="shared" si="27"/>
        <v>9.7546451893963582</v>
      </c>
      <c r="I624" s="18">
        <f t="shared" si="26"/>
        <v>1746</v>
      </c>
      <c r="J624" t="s">
        <v>6</v>
      </c>
    </row>
    <row r="625" spans="8:10" x14ac:dyDescent="0.25">
      <c r="H625" s="17">
        <f t="shared" si="27"/>
        <v>9.7703531526643079</v>
      </c>
      <c r="I625" s="18">
        <f t="shared" si="26"/>
        <v>1731</v>
      </c>
      <c r="J625" t="s">
        <v>6</v>
      </c>
    </row>
    <row r="626" spans="8:10" x14ac:dyDescent="0.25">
      <c r="H626" s="17">
        <f t="shared" si="27"/>
        <v>9.7860611159322577</v>
      </c>
      <c r="I626" s="18">
        <f t="shared" si="26"/>
        <v>1716</v>
      </c>
      <c r="J626" t="s">
        <v>6</v>
      </c>
    </row>
    <row r="627" spans="8:10" x14ac:dyDescent="0.25">
      <c r="H627" s="17">
        <f t="shared" si="27"/>
        <v>9.8017690792002075</v>
      </c>
      <c r="I627" s="18">
        <f t="shared" si="26"/>
        <v>1701</v>
      </c>
      <c r="J627" t="s">
        <v>6</v>
      </c>
    </row>
    <row r="628" spans="8:10" x14ac:dyDescent="0.25">
      <c r="H628" s="17">
        <f t="shared" si="27"/>
        <v>9.8174770424681572</v>
      </c>
      <c r="I628" s="18">
        <f t="shared" si="26"/>
        <v>1686</v>
      </c>
      <c r="J628" t="s">
        <v>6</v>
      </c>
    </row>
    <row r="629" spans="8:10" x14ac:dyDescent="0.25">
      <c r="H629" s="17">
        <f t="shared" si="27"/>
        <v>9.833185005736107</v>
      </c>
      <c r="I629" s="18">
        <f t="shared" si="26"/>
        <v>1671</v>
      </c>
      <c r="J629" t="s">
        <v>6</v>
      </c>
    </row>
    <row r="630" spans="8:10" x14ac:dyDescent="0.25">
      <c r="H630" s="17">
        <f t="shared" si="27"/>
        <v>9.8488929690040568</v>
      </c>
      <c r="I630" s="18">
        <f t="shared" si="26"/>
        <v>1657</v>
      </c>
      <c r="J630" t="s">
        <v>6</v>
      </c>
    </row>
    <row r="631" spans="8:10" x14ac:dyDescent="0.25">
      <c r="H631" s="17">
        <f t="shared" si="27"/>
        <v>9.8646009322720065</v>
      </c>
      <c r="I631" s="18">
        <f t="shared" si="26"/>
        <v>1642</v>
      </c>
      <c r="J631" t="s">
        <v>6</v>
      </c>
    </row>
    <row r="632" spans="8:10" x14ac:dyDescent="0.25">
      <c r="H632" s="17">
        <f t="shared" si="27"/>
        <v>9.8803088955399563</v>
      </c>
      <c r="I632" s="18">
        <f t="shared" si="26"/>
        <v>1628</v>
      </c>
      <c r="J632" t="s">
        <v>6</v>
      </c>
    </row>
    <row r="633" spans="8:10" x14ac:dyDescent="0.25">
      <c r="H633" s="17">
        <f t="shared" si="27"/>
        <v>9.896016858807906</v>
      </c>
      <c r="I633" s="18">
        <f t="shared" si="26"/>
        <v>1613</v>
      </c>
      <c r="J633" t="s">
        <v>6</v>
      </c>
    </row>
    <row r="634" spans="8:10" x14ac:dyDescent="0.25">
      <c r="H634" s="17">
        <f t="shared" si="27"/>
        <v>9.9117248220758558</v>
      </c>
      <c r="I634" s="18">
        <f t="shared" si="26"/>
        <v>1599</v>
      </c>
      <c r="J634" t="s">
        <v>6</v>
      </c>
    </row>
    <row r="635" spans="8:10" x14ac:dyDescent="0.25">
      <c r="H635" s="17">
        <f t="shared" si="27"/>
        <v>9.9274327853438056</v>
      </c>
      <c r="I635" s="18">
        <f t="shared" si="26"/>
        <v>1585</v>
      </c>
      <c r="J635" t="s">
        <v>6</v>
      </c>
    </row>
    <row r="636" spans="8:10" x14ac:dyDescent="0.25">
      <c r="H636" s="17">
        <f t="shared" si="27"/>
        <v>9.9431407486117553</v>
      </c>
      <c r="I636" s="18">
        <f t="shared" si="26"/>
        <v>1571</v>
      </c>
      <c r="J636" t="s">
        <v>6</v>
      </c>
    </row>
    <row r="637" spans="8:10" x14ac:dyDescent="0.25">
      <c r="H637" s="17">
        <f t="shared" si="27"/>
        <v>9.9588487118797051</v>
      </c>
      <c r="I637" s="18">
        <f t="shared" si="26"/>
        <v>1557</v>
      </c>
      <c r="J637" t="s">
        <v>6</v>
      </c>
    </row>
    <row r="638" spans="8:10" x14ac:dyDescent="0.25">
      <c r="H638" s="17">
        <f t="shared" si="27"/>
        <v>9.9745566751476549</v>
      </c>
      <c r="I638" s="18">
        <f t="shared" si="26"/>
        <v>1543</v>
      </c>
      <c r="J638" t="s">
        <v>6</v>
      </c>
    </row>
    <row r="639" spans="8:10" x14ac:dyDescent="0.25">
      <c r="H639" s="17">
        <f t="shared" si="27"/>
        <v>9.9902646384156046</v>
      </c>
      <c r="I639" s="18">
        <f t="shared" si="26"/>
        <v>1529</v>
      </c>
      <c r="J639" t="s">
        <v>6</v>
      </c>
    </row>
    <row r="640" spans="8:10" x14ac:dyDescent="0.25">
      <c r="H640" s="17">
        <f t="shared" si="27"/>
        <v>10.005972601683554</v>
      </c>
      <c r="I640" s="18">
        <f t="shared" si="26"/>
        <v>1516</v>
      </c>
      <c r="J640" t="s">
        <v>6</v>
      </c>
    </row>
    <row r="641" spans="8:10" x14ac:dyDescent="0.25">
      <c r="H641" s="17">
        <f t="shared" si="27"/>
        <v>10.021680564951504</v>
      </c>
      <c r="I641" s="18">
        <f t="shared" si="26"/>
        <v>1502</v>
      </c>
      <c r="J641" t="s">
        <v>6</v>
      </c>
    </row>
    <row r="642" spans="8:10" x14ac:dyDescent="0.25">
      <c r="H642" s="17">
        <f t="shared" si="27"/>
        <v>10.037388528219454</v>
      </c>
      <c r="I642" s="18">
        <f t="shared" si="26"/>
        <v>1489</v>
      </c>
      <c r="J642" t="s">
        <v>6</v>
      </c>
    </row>
    <row r="643" spans="8:10" x14ac:dyDescent="0.25">
      <c r="H643" s="17">
        <f t="shared" si="27"/>
        <v>10.053096491487404</v>
      </c>
      <c r="I643" s="18">
        <f t="shared" ref="I643:I705" si="28">ROUND(SIN(H643)*$L$2+$L$1,0)</f>
        <v>1476</v>
      </c>
      <c r="J643" t="s">
        <v>6</v>
      </c>
    </row>
    <row r="644" spans="8:10" x14ac:dyDescent="0.25">
      <c r="H644" s="17">
        <f t="shared" si="27"/>
        <v>10.068804454755353</v>
      </c>
      <c r="I644" s="18">
        <f t="shared" si="28"/>
        <v>1463</v>
      </c>
      <c r="J644" t="s">
        <v>6</v>
      </c>
    </row>
    <row r="645" spans="8:10" x14ac:dyDescent="0.25">
      <c r="H645" s="17">
        <f t="shared" si="27"/>
        <v>10.084512418023303</v>
      </c>
      <c r="I645" s="18">
        <f t="shared" si="28"/>
        <v>1450</v>
      </c>
      <c r="J645" t="s">
        <v>6</v>
      </c>
    </row>
    <row r="646" spans="8:10" x14ac:dyDescent="0.25">
      <c r="H646" s="17">
        <f t="shared" ref="H646:H705" si="29">H645+$I$2</f>
        <v>10.100220381291253</v>
      </c>
      <c r="I646" s="18">
        <f t="shared" si="28"/>
        <v>1438</v>
      </c>
      <c r="J646" t="s">
        <v>6</v>
      </c>
    </row>
    <row r="647" spans="8:10" x14ac:dyDescent="0.25">
      <c r="H647" s="17">
        <f t="shared" si="29"/>
        <v>10.115928344559203</v>
      </c>
      <c r="I647" s="18">
        <f t="shared" si="28"/>
        <v>1425</v>
      </c>
      <c r="J647" t="s">
        <v>6</v>
      </c>
    </row>
    <row r="648" spans="8:10" x14ac:dyDescent="0.25">
      <c r="H648" s="17">
        <f t="shared" si="29"/>
        <v>10.131636307827153</v>
      </c>
      <c r="I648" s="18">
        <f t="shared" si="28"/>
        <v>1413</v>
      </c>
      <c r="J648" t="s">
        <v>6</v>
      </c>
    </row>
    <row r="649" spans="8:10" x14ac:dyDescent="0.25">
      <c r="H649" s="17">
        <f t="shared" si="29"/>
        <v>10.147344271095102</v>
      </c>
      <c r="I649" s="18">
        <f t="shared" si="28"/>
        <v>1401</v>
      </c>
      <c r="J649" t="s">
        <v>6</v>
      </c>
    </row>
    <row r="650" spans="8:10" x14ac:dyDescent="0.25">
      <c r="H650" s="17">
        <f t="shared" si="29"/>
        <v>10.163052234363052</v>
      </c>
      <c r="I650" s="18">
        <f t="shared" si="28"/>
        <v>1389</v>
      </c>
      <c r="J650" t="s">
        <v>6</v>
      </c>
    </row>
    <row r="651" spans="8:10" x14ac:dyDescent="0.25">
      <c r="H651" s="17">
        <f t="shared" si="29"/>
        <v>10.178760197631002</v>
      </c>
      <c r="I651" s="18">
        <f t="shared" si="28"/>
        <v>1377</v>
      </c>
      <c r="J651" t="s">
        <v>6</v>
      </c>
    </row>
    <row r="652" spans="8:10" x14ac:dyDescent="0.25">
      <c r="H652" s="17">
        <f t="shared" si="29"/>
        <v>10.194468160898952</v>
      </c>
      <c r="I652" s="18">
        <f t="shared" si="28"/>
        <v>1365</v>
      </c>
      <c r="J652" t="s">
        <v>6</v>
      </c>
    </row>
    <row r="653" spans="8:10" x14ac:dyDescent="0.25">
      <c r="H653" s="17">
        <f t="shared" si="29"/>
        <v>10.210176124166901</v>
      </c>
      <c r="I653" s="18">
        <f t="shared" si="28"/>
        <v>1354</v>
      </c>
      <c r="J653" t="s">
        <v>6</v>
      </c>
    </row>
    <row r="654" spans="8:10" x14ac:dyDescent="0.25">
      <c r="H654" s="17">
        <f t="shared" si="29"/>
        <v>10.225884087434851</v>
      </c>
      <c r="I654" s="18">
        <f t="shared" si="28"/>
        <v>1343</v>
      </c>
      <c r="J654" t="s">
        <v>6</v>
      </c>
    </row>
    <row r="655" spans="8:10" x14ac:dyDescent="0.25">
      <c r="H655" s="17">
        <f t="shared" si="29"/>
        <v>10.241592050702801</v>
      </c>
      <c r="I655" s="18">
        <f t="shared" si="28"/>
        <v>1332</v>
      </c>
      <c r="J655" t="s">
        <v>6</v>
      </c>
    </row>
    <row r="656" spans="8:10" x14ac:dyDescent="0.25">
      <c r="H656" s="17">
        <f t="shared" si="29"/>
        <v>10.257300013970751</v>
      </c>
      <c r="I656" s="18">
        <f t="shared" si="28"/>
        <v>1321</v>
      </c>
      <c r="J656" t="s">
        <v>6</v>
      </c>
    </row>
    <row r="657" spans="8:10" x14ac:dyDescent="0.25">
      <c r="H657" s="17">
        <f t="shared" si="29"/>
        <v>10.2730079772387</v>
      </c>
      <c r="I657" s="18">
        <f t="shared" si="28"/>
        <v>1310</v>
      </c>
      <c r="J657" t="s">
        <v>6</v>
      </c>
    </row>
    <row r="658" spans="8:10" x14ac:dyDescent="0.25">
      <c r="H658" s="17">
        <f t="shared" si="29"/>
        <v>10.28871594050665</v>
      </c>
      <c r="I658" s="18">
        <f t="shared" si="28"/>
        <v>1299</v>
      </c>
      <c r="J658" t="s">
        <v>6</v>
      </c>
    </row>
    <row r="659" spans="8:10" x14ac:dyDescent="0.25">
      <c r="H659" s="17">
        <f t="shared" si="29"/>
        <v>10.3044239037746</v>
      </c>
      <c r="I659" s="18">
        <f t="shared" si="28"/>
        <v>1289</v>
      </c>
      <c r="J659" t="s">
        <v>6</v>
      </c>
    </row>
    <row r="660" spans="8:10" x14ac:dyDescent="0.25">
      <c r="H660" s="17">
        <f t="shared" si="29"/>
        <v>10.32013186704255</v>
      </c>
      <c r="I660" s="18">
        <f t="shared" si="28"/>
        <v>1279</v>
      </c>
      <c r="J660" t="s">
        <v>6</v>
      </c>
    </row>
    <row r="661" spans="8:10" x14ac:dyDescent="0.25">
      <c r="H661" s="17">
        <f t="shared" si="29"/>
        <v>10.335839830310499</v>
      </c>
      <c r="I661" s="18">
        <f t="shared" si="28"/>
        <v>1269</v>
      </c>
      <c r="J661" t="s">
        <v>6</v>
      </c>
    </row>
    <row r="662" spans="8:10" x14ac:dyDescent="0.25">
      <c r="H662" s="17">
        <f t="shared" si="29"/>
        <v>10.351547793578449</v>
      </c>
      <c r="I662" s="18">
        <f t="shared" si="28"/>
        <v>1259</v>
      </c>
      <c r="J662" t="s">
        <v>6</v>
      </c>
    </row>
    <row r="663" spans="8:10" x14ac:dyDescent="0.25">
      <c r="H663" s="17">
        <f t="shared" si="29"/>
        <v>10.367255756846399</v>
      </c>
      <c r="I663" s="18">
        <f t="shared" si="28"/>
        <v>1250</v>
      </c>
      <c r="J663" t="s">
        <v>6</v>
      </c>
    </row>
    <row r="664" spans="8:10" x14ac:dyDescent="0.25">
      <c r="H664" s="17">
        <f t="shared" si="29"/>
        <v>10.382963720114349</v>
      </c>
      <c r="I664" s="18">
        <f t="shared" si="28"/>
        <v>1240</v>
      </c>
      <c r="J664" t="s">
        <v>6</v>
      </c>
    </row>
    <row r="665" spans="8:10" x14ac:dyDescent="0.25">
      <c r="H665" s="17">
        <f t="shared" si="29"/>
        <v>10.398671683382299</v>
      </c>
      <c r="I665" s="18">
        <f t="shared" si="28"/>
        <v>1231</v>
      </c>
      <c r="J665" t="s">
        <v>6</v>
      </c>
    </row>
    <row r="666" spans="8:10" x14ac:dyDescent="0.25">
      <c r="H666" s="17">
        <f t="shared" si="29"/>
        <v>10.414379646650248</v>
      </c>
      <c r="I666" s="18">
        <f t="shared" si="28"/>
        <v>1222</v>
      </c>
      <c r="J666" t="s">
        <v>6</v>
      </c>
    </row>
    <row r="667" spans="8:10" x14ac:dyDescent="0.25">
      <c r="H667" s="17">
        <f t="shared" si="29"/>
        <v>10.430087609918198</v>
      </c>
      <c r="I667" s="18">
        <f t="shared" si="28"/>
        <v>1213</v>
      </c>
      <c r="J667" t="s">
        <v>6</v>
      </c>
    </row>
    <row r="668" spans="8:10" x14ac:dyDescent="0.25">
      <c r="H668" s="17">
        <f t="shared" si="29"/>
        <v>10.445795573186148</v>
      </c>
      <c r="I668" s="18">
        <f t="shared" si="28"/>
        <v>1205</v>
      </c>
      <c r="J668" t="s">
        <v>6</v>
      </c>
    </row>
    <row r="669" spans="8:10" x14ac:dyDescent="0.25">
      <c r="H669" s="17">
        <f t="shared" si="29"/>
        <v>10.461503536454098</v>
      </c>
      <c r="I669" s="18">
        <f t="shared" si="28"/>
        <v>1197</v>
      </c>
      <c r="J669" t="s">
        <v>6</v>
      </c>
    </row>
    <row r="670" spans="8:10" x14ac:dyDescent="0.25">
      <c r="H670" s="17">
        <f t="shared" si="29"/>
        <v>10.477211499722047</v>
      </c>
      <c r="I670" s="18">
        <f t="shared" si="28"/>
        <v>1189</v>
      </c>
      <c r="J670" t="s">
        <v>6</v>
      </c>
    </row>
    <row r="671" spans="8:10" x14ac:dyDescent="0.25">
      <c r="H671" s="17">
        <f t="shared" si="29"/>
        <v>10.492919462989997</v>
      </c>
      <c r="I671" s="18">
        <f t="shared" si="28"/>
        <v>1181</v>
      </c>
      <c r="J671" t="s">
        <v>6</v>
      </c>
    </row>
    <row r="672" spans="8:10" x14ac:dyDescent="0.25">
      <c r="H672" s="17">
        <f t="shared" si="29"/>
        <v>10.508627426257947</v>
      </c>
      <c r="I672" s="18">
        <f t="shared" si="28"/>
        <v>1173</v>
      </c>
      <c r="J672" t="s">
        <v>6</v>
      </c>
    </row>
    <row r="673" spans="8:10" x14ac:dyDescent="0.25">
      <c r="H673" s="17">
        <f t="shared" si="29"/>
        <v>10.524335389525897</v>
      </c>
      <c r="I673" s="18">
        <f t="shared" si="28"/>
        <v>1166</v>
      </c>
      <c r="J673" t="s">
        <v>6</v>
      </c>
    </row>
    <row r="674" spans="8:10" x14ac:dyDescent="0.25">
      <c r="H674" s="17">
        <f t="shared" si="29"/>
        <v>10.540043352793846</v>
      </c>
      <c r="I674" s="18">
        <f t="shared" si="28"/>
        <v>1158</v>
      </c>
      <c r="J674" t="s">
        <v>6</v>
      </c>
    </row>
    <row r="675" spans="8:10" x14ac:dyDescent="0.25">
      <c r="H675" s="17">
        <f t="shared" si="29"/>
        <v>10.555751316061796</v>
      </c>
      <c r="I675" s="18">
        <f t="shared" si="28"/>
        <v>1151</v>
      </c>
      <c r="J675" t="s">
        <v>6</v>
      </c>
    </row>
    <row r="676" spans="8:10" x14ac:dyDescent="0.25">
      <c r="H676" s="17">
        <f t="shared" si="29"/>
        <v>10.571459279329746</v>
      </c>
      <c r="I676" s="18">
        <f t="shared" si="28"/>
        <v>1145</v>
      </c>
      <c r="J676" t="s">
        <v>6</v>
      </c>
    </row>
    <row r="677" spans="8:10" x14ac:dyDescent="0.25">
      <c r="H677" s="17">
        <f t="shared" si="29"/>
        <v>10.587167242597696</v>
      </c>
      <c r="I677" s="18">
        <f t="shared" si="28"/>
        <v>1138</v>
      </c>
      <c r="J677" t="s">
        <v>6</v>
      </c>
    </row>
    <row r="678" spans="8:10" x14ac:dyDescent="0.25">
      <c r="H678" s="17">
        <f t="shared" si="29"/>
        <v>10.602875205865645</v>
      </c>
      <c r="I678" s="18">
        <f t="shared" si="28"/>
        <v>1132</v>
      </c>
      <c r="J678" t="s">
        <v>6</v>
      </c>
    </row>
    <row r="679" spans="8:10" x14ac:dyDescent="0.25">
      <c r="H679" s="17">
        <f t="shared" si="29"/>
        <v>10.618583169133595</v>
      </c>
      <c r="I679" s="18">
        <f t="shared" si="28"/>
        <v>1126</v>
      </c>
      <c r="J679" t="s">
        <v>6</v>
      </c>
    </row>
    <row r="680" spans="8:10" x14ac:dyDescent="0.25">
      <c r="H680" s="17">
        <f t="shared" si="29"/>
        <v>10.634291132401545</v>
      </c>
      <c r="I680" s="18">
        <f t="shared" si="28"/>
        <v>1120</v>
      </c>
      <c r="J680" t="s">
        <v>6</v>
      </c>
    </row>
    <row r="681" spans="8:10" x14ac:dyDescent="0.25">
      <c r="H681" s="17">
        <f t="shared" si="29"/>
        <v>10.649999095669495</v>
      </c>
      <c r="I681" s="18">
        <f t="shared" si="28"/>
        <v>1115</v>
      </c>
      <c r="J681" t="s">
        <v>6</v>
      </c>
    </row>
    <row r="682" spans="8:10" x14ac:dyDescent="0.25">
      <c r="H682" s="17">
        <f t="shared" si="29"/>
        <v>10.665707058937445</v>
      </c>
      <c r="I682" s="18">
        <f t="shared" si="28"/>
        <v>1109</v>
      </c>
      <c r="J682" t="s">
        <v>6</v>
      </c>
    </row>
    <row r="683" spans="8:10" x14ac:dyDescent="0.25">
      <c r="H683" s="17">
        <f t="shared" si="29"/>
        <v>10.681415022205394</v>
      </c>
      <c r="I683" s="18">
        <f t="shared" si="28"/>
        <v>1104</v>
      </c>
      <c r="J683" t="s">
        <v>6</v>
      </c>
    </row>
    <row r="684" spans="8:10" x14ac:dyDescent="0.25">
      <c r="H684" s="17">
        <f t="shared" si="29"/>
        <v>10.697122985473344</v>
      </c>
      <c r="I684" s="18">
        <f t="shared" si="28"/>
        <v>1099</v>
      </c>
      <c r="J684" t="s">
        <v>6</v>
      </c>
    </row>
    <row r="685" spans="8:10" x14ac:dyDescent="0.25">
      <c r="H685" s="17">
        <f t="shared" si="29"/>
        <v>10.712830948741294</v>
      </c>
      <c r="I685" s="18">
        <f t="shared" si="28"/>
        <v>1095</v>
      </c>
      <c r="J685" t="s">
        <v>6</v>
      </c>
    </row>
    <row r="686" spans="8:10" x14ac:dyDescent="0.25">
      <c r="H686" s="17">
        <f t="shared" si="29"/>
        <v>10.728538912009244</v>
      </c>
      <c r="I686" s="18">
        <f t="shared" si="28"/>
        <v>1090</v>
      </c>
      <c r="J686" t="s">
        <v>6</v>
      </c>
    </row>
    <row r="687" spans="8:10" x14ac:dyDescent="0.25">
      <c r="H687" s="17">
        <f t="shared" si="29"/>
        <v>10.744246875277193</v>
      </c>
      <c r="I687" s="18">
        <f t="shared" si="28"/>
        <v>1086</v>
      </c>
      <c r="J687" t="s">
        <v>6</v>
      </c>
    </row>
    <row r="688" spans="8:10" x14ac:dyDescent="0.25">
      <c r="H688" s="17">
        <f t="shared" si="29"/>
        <v>10.759954838545143</v>
      </c>
      <c r="I688" s="18">
        <f t="shared" si="28"/>
        <v>1082</v>
      </c>
      <c r="J688" t="s">
        <v>6</v>
      </c>
    </row>
    <row r="689" spans="8:10" x14ac:dyDescent="0.25">
      <c r="H689" s="17">
        <f t="shared" si="29"/>
        <v>10.775662801813093</v>
      </c>
      <c r="I689" s="18">
        <f t="shared" si="28"/>
        <v>1079</v>
      </c>
      <c r="J689" t="s">
        <v>6</v>
      </c>
    </row>
    <row r="690" spans="8:10" x14ac:dyDescent="0.25">
      <c r="H690" s="17">
        <f t="shared" si="29"/>
        <v>10.791370765081043</v>
      </c>
      <c r="I690" s="18">
        <f t="shared" si="28"/>
        <v>1075</v>
      </c>
      <c r="J690" t="s">
        <v>6</v>
      </c>
    </row>
    <row r="691" spans="8:10" x14ac:dyDescent="0.25">
      <c r="H691" s="17">
        <f t="shared" si="29"/>
        <v>10.807078728348992</v>
      </c>
      <c r="I691" s="18">
        <f t="shared" si="28"/>
        <v>1072</v>
      </c>
      <c r="J691" t="s">
        <v>6</v>
      </c>
    </row>
    <row r="692" spans="8:10" x14ac:dyDescent="0.25">
      <c r="H692" s="17">
        <f t="shared" si="29"/>
        <v>10.822786691616942</v>
      </c>
      <c r="I692" s="18">
        <f t="shared" si="28"/>
        <v>1069</v>
      </c>
      <c r="J692" t="s">
        <v>6</v>
      </c>
    </row>
    <row r="693" spans="8:10" x14ac:dyDescent="0.25">
      <c r="H693" s="17">
        <f t="shared" si="29"/>
        <v>10.838494654884892</v>
      </c>
      <c r="I693" s="18">
        <f t="shared" si="28"/>
        <v>1067</v>
      </c>
      <c r="J693" t="s">
        <v>6</v>
      </c>
    </row>
    <row r="694" spans="8:10" x14ac:dyDescent="0.25">
      <c r="H694" s="17">
        <f t="shared" si="29"/>
        <v>10.854202618152842</v>
      </c>
      <c r="I694" s="18">
        <f t="shared" si="28"/>
        <v>1064</v>
      </c>
      <c r="J694" t="s">
        <v>6</v>
      </c>
    </row>
    <row r="695" spans="8:10" x14ac:dyDescent="0.25">
      <c r="H695" s="17">
        <f t="shared" si="29"/>
        <v>10.869910581420791</v>
      </c>
      <c r="I695" s="18">
        <f t="shared" si="28"/>
        <v>1062</v>
      </c>
      <c r="J695" t="s">
        <v>6</v>
      </c>
    </row>
    <row r="696" spans="8:10" x14ac:dyDescent="0.25">
      <c r="H696" s="17">
        <f t="shared" si="29"/>
        <v>10.885618544688741</v>
      </c>
      <c r="I696" s="18">
        <f t="shared" si="28"/>
        <v>1060</v>
      </c>
      <c r="J696" t="s">
        <v>6</v>
      </c>
    </row>
    <row r="697" spans="8:10" x14ac:dyDescent="0.25">
      <c r="H697" s="17">
        <f t="shared" si="29"/>
        <v>10.901326507956691</v>
      </c>
      <c r="I697" s="18">
        <f t="shared" si="28"/>
        <v>1059</v>
      </c>
      <c r="J697" t="s">
        <v>6</v>
      </c>
    </row>
    <row r="698" spans="8:10" x14ac:dyDescent="0.25">
      <c r="H698" s="17">
        <f t="shared" si="29"/>
        <v>10.917034471224641</v>
      </c>
      <c r="I698" s="18">
        <f t="shared" si="28"/>
        <v>1057</v>
      </c>
      <c r="J698" t="s">
        <v>6</v>
      </c>
    </row>
    <row r="699" spans="8:10" x14ac:dyDescent="0.25">
      <c r="H699" s="17">
        <f t="shared" si="29"/>
        <v>10.932742434492591</v>
      </c>
      <c r="I699" s="18">
        <f t="shared" si="28"/>
        <v>1056</v>
      </c>
      <c r="J699" t="s">
        <v>6</v>
      </c>
    </row>
    <row r="700" spans="8:10" x14ac:dyDescent="0.25">
      <c r="H700" s="17">
        <f t="shared" si="29"/>
        <v>10.94845039776054</v>
      </c>
      <c r="I700" s="18">
        <f t="shared" si="28"/>
        <v>1055</v>
      </c>
      <c r="J700" t="s">
        <v>6</v>
      </c>
    </row>
    <row r="701" spans="8:10" x14ac:dyDescent="0.25">
      <c r="H701" s="17">
        <f t="shared" si="29"/>
        <v>10.96415836102849</v>
      </c>
      <c r="I701" s="18">
        <f t="shared" si="28"/>
        <v>1055</v>
      </c>
      <c r="J701" t="s">
        <v>6</v>
      </c>
    </row>
    <row r="702" spans="8:10" x14ac:dyDescent="0.25">
      <c r="H702" s="17">
        <f t="shared" si="29"/>
        <v>10.97986632429644</v>
      </c>
      <c r="I702" s="18">
        <f t="shared" si="28"/>
        <v>1054</v>
      </c>
      <c r="J702" t="s">
        <v>6</v>
      </c>
    </row>
    <row r="703" spans="8:10" x14ac:dyDescent="0.25">
      <c r="H703" s="17">
        <f t="shared" si="29"/>
        <v>10.99557428756439</v>
      </c>
      <c r="I703" s="18">
        <f t="shared" si="28"/>
        <v>1054</v>
      </c>
      <c r="J703" t="s">
        <v>6</v>
      </c>
    </row>
    <row r="704" spans="8:10" x14ac:dyDescent="0.25">
      <c r="H704" s="17">
        <f t="shared" si="29"/>
        <v>11.011282250832339</v>
      </c>
      <c r="I704" s="18">
        <f t="shared" si="28"/>
        <v>1054</v>
      </c>
      <c r="J704" t="s">
        <v>6</v>
      </c>
    </row>
    <row r="705" spans="8:10" x14ac:dyDescent="0.25">
      <c r="H705" s="17">
        <f t="shared" si="29"/>
        <v>11.026990214100289</v>
      </c>
      <c r="I705" s="18">
        <f t="shared" si="28"/>
        <v>1055</v>
      </c>
      <c r="J705" t="s">
        <v>6</v>
      </c>
    </row>
  </sheetData>
  <mergeCells count="9">
    <mergeCell ref="H1:I1"/>
    <mergeCell ref="D6:G6"/>
    <mergeCell ref="F41:G41"/>
    <mergeCell ref="D31:E31"/>
    <mergeCell ref="F31:G31"/>
    <mergeCell ref="D9:G9"/>
    <mergeCell ref="D19:G19"/>
    <mergeCell ref="D7:G8"/>
    <mergeCell ref="D30:G30"/>
  </mergeCell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19D1-344E-44A1-A520-1A0606A5A6BC}">
  <dimension ref="B1:K48"/>
  <sheetViews>
    <sheetView workbookViewId="0">
      <selection activeCell="L51" sqref="L51"/>
    </sheetView>
  </sheetViews>
  <sheetFormatPr defaultRowHeight="15" x14ac:dyDescent="0.25"/>
  <cols>
    <col min="4" max="4" width="11" bestFit="1" customWidth="1"/>
    <col min="13" max="13" width="9.85546875" bestFit="1" customWidth="1"/>
  </cols>
  <sheetData>
    <row r="1" spans="2:10" x14ac:dyDescent="0.25">
      <c r="C1" t="s">
        <v>14</v>
      </c>
      <c r="D1">
        <v>10</v>
      </c>
    </row>
    <row r="2" spans="2:10" x14ac:dyDescent="0.25">
      <c r="C2" t="s">
        <v>24</v>
      </c>
      <c r="D2">
        <v>1</v>
      </c>
    </row>
    <row r="4" spans="2:10" x14ac:dyDescent="0.25">
      <c r="B4" s="39" t="s">
        <v>25</v>
      </c>
      <c r="C4" s="39"/>
      <c r="D4" s="39"/>
      <c r="E4" s="39"/>
      <c r="F4" s="39"/>
      <c r="G4" s="39"/>
      <c r="H4" s="39"/>
      <c r="I4" s="39"/>
      <c r="J4" s="39"/>
    </row>
    <row r="5" spans="2:10" x14ac:dyDescent="0.25">
      <c r="B5" s="10"/>
      <c r="C5" s="10"/>
      <c r="D5" s="39" t="s">
        <v>32</v>
      </c>
      <c r="E5" s="39"/>
      <c r="F5" s="39"/>
      <c r="G5" s="39"/>
      <c r="H5" s="39"/>
      <c r="I5" s="39"/>
      <c r="J5" s="39"/>
    </row>
    <row r="6" spans="2:10" x14ac:dyDescent="0.25">
      <c r="B6" s="10"/>
      <c r="C6" s="10"/>
      <c r="D6" s="19">
        <v>1.0000000000000001E-9</v>
      </c>
      <c r="E6" s="19">
        <v>9.9999999999999995E-8</v>
      </c>
      <c r="F6" s="19">
        <v>9.9999999999999995E-7</v>
      </c>
      <c r="G6" s="19">
        <v>1.0000000000000001E-5</v>
      </c>
      <c r="H6" s="19">
        <v>1E-3</v>
      </c>
      <c r="I6" s="10">
        <v>1</v>
      </c>
      <c r="J6" s="10">
        <v>100</v>
      </c>
    </row>
    <row r="7" spans="2:10" x14ac:dyDescent="0.25">
      <c r="B7" s="38" t="s">
        <v>33</v>
      </c>
      <c r="C7" s="22">
        <v>100</v>
      </c>
      <c r="D7" s="19">
        <f>2*PI()*$C7*D$6</f>
        <v>6.2831853071795864E-7</v>
      </c>
      <c r="E7" s="19">
        <f t="shared" ref="E7:J12" si="0">2*PI()*$C7*E$6</f>
        <v>6.2831853071795856E-5</v>
      </c>
      <c r="F7" s="19">
        <f t="shared" si="0"/>
        <v>6.2831853071795862E-4</v>
      </c>
      <c r="G7" s="19">
        <f t="shared" si="0"/>
        <v>6.2831853071795866E-3</v>
      </c>
      <c r="H7" s="19">
        <f t="shared" si="0"/>
        <v>0.62831853071795862</v>
      </c>
      <c r="I7" s="19">
        <f t="shared" si="0"/>
        <v>628.31853071795865</v>
      </c>
      <c r="J7" s="19">
        <f t="shared" si="0"/>
        <v>62831.853071795864</v>
      </c>
    </row>
    <row r="8" spans="2:10" x14ac:dyDescent="0.25">
      <c r="B8" s="38"/>
      <c r="C8" s="22">
        <v>500</v>
      </c>
      <c r="D8" s="19">
        <f t="shared" ref="D8:D12" si="1">2*PI()*$C8*D$6</f>
        <v>3.1415926535897929E-6</v>
      </c>
      <c r="E8" s="19">
        <f>2*PI()*$C8*E$6</f>
        <v>3.1415926535897925E-4</v>
      </c>
      <c r="F8" s="19">
        <f t="shared" si="0"/>
        <v>3.1415926535897929E-3</v>
      </c>
      <c r="G8" s="19">
        <f t="shared" si="0"/>
        <v>3.1415926535897934E-2</v>
      </c>
      <c r="H8" s="19">
        <f t="shared" si="0"/>
        <v>3.1415926535897931</v>
      </c>
      <c r="I8" s="19">
        <f t="shared" si="0"/>
        <v>3141.5926535897929</v>
      </c>
      <c r="J8" s="19">
        <f t="shared" si="0"/>
        <v>314159.26535897929</v>
      </c>
    </row>
    <row r="9" spans="2:10" x14ac:dyDescent="0.25">
      <c r="B9" s="38"/>
      <c r="C9" s="10">
        <v>1000</v>
      </c>
      <c r="D9" s="19">
        <f t="shared" si="1"/>
        <v>6.2831853071795858E-6</v>
      </c>
      <c r="E9" s="19">
        <f t="shared" si="0"/>
        <v>6.2831853071795851E-4</v>
      </c>
      <c r="F9" s="19">
        <f t="shared" si="0"/>
        <v>6.2831853071795857E-3</v>
      </c>
      <c r="G9" s="19">
        <f t="shared" si="0"/>
        <v>6.2831853071795868E-2</v>
      </c>
      <c r="H9" s="19">
        <f t="shared" si="0"/>
        <v>6.2831853071795862</v>
      </c>
      <c r="I9" s="19">
        <f t="shared" si="0"/>
        <v>6283.1853071795858</v>
      </c>
      <c r="J9" s="19">
        <f t="shared" si="0"/>
        <v>628318.53071795858</v>
      </c>
    </row>
    <row r="10" spans="2:10" x14ac:dyDescent="0.25">
      <c r="B10" s="38"/>
      <c r="C10" s="10">
        <v>5000</v>
      </c>
      <c r="D10" s="19">
        <f t="shared" si="1"/>
        <v>3.1415926535897935E-5</v>
      </c>
      <c r="E10" s="19">
        <f t="shared" si="0"/>
        <v>3.1415926535897929E-3</v>
      </c>
      <c r="F10" s="19">
        <f t="shared" si="0"/>
        <v>3.1415926535897934E-2</v>
      </c>
      <c r="G10" s="19">
        <f t="shared" si="0"/>
        <v>0.31415926535897937</v>
      </c>
      <c r="H10" s="19">
        <f>2*PI()*$C10*H$6</f>
        <v>31.415926535897931</v>
      </c>
      <c r="I10" s="19">
        <f t="shared" si="0"/>
        <v>31415.926535897932</v>
      </c>
      <c r="J10" s="19">
        <f t="shared" si="0"/>
        <v>3141592.653589793</v>
      </c>
    </row>
    <row r="11" spans="2:10" x14ac:dyDescent="0.25">
      <c r="B11" s="38"/>
      <c r="C11" s="10">
        <v>50000</v>
      </c>
      <c r="D11" s="19">
        <f t="shared" si="1"/>
        <v>3.1415926535897931E-4</v>
      </c>
      <c r="E11" s="19">
        <f t="shared" si="0"/>
        <v>3.1415926535897927E-2</v>
      </c>
      <c r="F11" s="19">
        <f t="shared" si="0"/>
        <v>0.31415926535897926</v>
      </c>
      <c r="G11" s="19">
        <f t="shared" si="0"/>
        <v>3.1415926535897931</v>
      </c>
      <c r="H11" s="19">
        <f t="shared" si="0"/>
        <v>314.15926535897927</v>
      </c>
      <c r="I11" s="19">
        <f t="shared" si="0"/>
        <v>314159.26535897929</v>
      </c>
      <c r="J11" s="19">
        <f t="shared" si="0"/>
        <v>31415926.535897929</v>
      </c>
    </row>
    <row r="12" spans="2:10" x14ac:dyDescent="0.25">
      <c r="B12" s="38"/>
      <c r="C12" s="10">
        <v>1000000</v>
      </c>
      <c r="D12" s="19">
        <f t="shared" si="1"/>
        <v>6.2831853071795866E-3</v>
      </c>
      <c r="E12" s="19">
        <f t="shared" si="0"/>
        <v>0.62831853071795862</v>
      </c>
      <c r="F12" s="19">
        <f t="shared" si="0"/>
        <v>6.2831853071795853</v>
      </c>
      <c r="G12" s="19">
        <f t="shared" si="0"/>
        <v>62.831853071795862</v>
      </c>
      <c r="H12" s="19">
        <f t="shared" si="0"/>
        <v>6283.1853071795858</v>
      </c>
      <c r="I12" s="19">
        <f t="shared" si="0"/>
        <v>6283185.307179586</v>
      </c>
      <c r="J12" s="19">
        <f t="shared" si="0"/>
        <v>628318530.71795857</v>
      </c>
    </row>
    <row r="15" spans="2:10" x14ac:dyDescent="0.25">
      <c r="C15" s="37" t="s">
        <v>26</v>
      </c>
      <c r="D15" s="10">
        <f>SQRT(D7^2+$D$1^2)</f>
        <v>10.00000000000002</v>
      </c>
      <c r="E15" s="10">
        <f t="shared" ref="E15:J15" si="2">SQRT(E7^2+$D$1^2)</f>
        <v>10.000000000197392</v>
      </c>
      <c r="F15" s="10">
        <f t="shared" si="2"/>
        <v>10.000000019739209</v>
      </c>
      <c r="G15" s="10">
        <f t="shared" si="2"/>
        <v>10.000001973920686</v>
      </c>
      <c r="H15" s="10">
        <f t="shared" si="2"/>
        <v>10.019719765344915</v>
      </c>
      <c r="I15" s="10">
        <f t="shared" si="2"/>
        <v>628.39810315084048</v>
      </c>
      <c r="J15" s="10">
        <f t="shared" si="2"/>
        <v>62831.853867570571</v>
      </c>
    </row>
    <row r="16" spans="2:10" x14ac:dyDescent="0.25">
      <c r="C16" s="37"/>
      <c r="D16" s="10">
        <f t="shared" ref="D16:J16" si="3">SQRT(D8^2+$D$1^2)</f>
        <v>10.000000000000494</v>
      </c>
      <c r="E16" s="10">
        <f t="shared" si="3"/>
        <v>10.000000004934803</v>
      </c>
      <c r="F16" s="10">
        <f t="shared" si="3"/>
        <v>10.000000493480208</v>
      </c>
      <c r="G16" s="10">
        <f t="shared" si="3"/>
        <v>10.000049347900244</v>
      </c>
      <c r="H16" s="10">
        <f t="shared" si="3"/>
        <v>10.481870272097884</v>
      </c>
      <c r="I16" s="10">
        <f t="shared" si="3"/>
        <v>3141.6085690437881</v>
      </c>
      <c r="J16" s="10">
        <f t="shared" si="3"/>
        <v>314159.26551813423</v>
      </c>
    </row>
    <row r="17" spans="3:11" x14ac:dyDescent="0.25">
      <c r="C17" s="37"/>
      <c r="D17" s="10">
        <f t="shared" ref="D17:J17" si="4">SQRT(D9^2+$D$1^2)</f>
        <v>10.000000000001974</v>
      </c>
      <c r="E17" s="10">
        <f t="shared" si="4"/>
        <v>10.000000019739209</v>
      </c>
      <c r="F17" s="10">
        <f t="shared" si="4"/>
        <v>10.000001973920686</v>
      </c>
      <c r="G17" s="10">
        <f t="shared" si="4"/>
        <v>10.000197390139878</v>
      </c>
      <c r="H17" s="10">
        <f t="shared" si="4"/>
        <v>11.810098120013967</v>
      </c>
      <c r="I17" s="10">
        <f t="shared" si="4"/>
        <v>6283.1932649217015</v>
      </c>
      <c r="J17" s="10">
        <f t="shared" si="4"/>
        <v>628318.53079753602</v>
      </c>
    </row>
    <row r="18" spans="3:11" x14ac:dyDescent="0.25">
      <c r="C18" s="37"/>
      <c r="D18" s="10">
        <f t="shared" ref="D18:J18" si="5">SQRT(D10^2+$D$1^2)</f>
        <v>10.000000000049347</v>
      </c>
      <c r="E18" s="10">
        <f t="shared" si="5"/>
        <v>10.000000493480208</v>
      </c>
      <c r="F18" s="10">
        <f t="shared" si="5"/>
        <v>10.000049347900244</v>
      </c>
      <c r="G18" s="10">
        <f t="shared" si="5"/>
        <v>10.004933585187404</v>
      </c>
      <c r="H18" s="10">
        <f t="shared" si="5"/>
        <v>32.969083094756151</v>
      </c>
      <c r="I18" s="10">
        <f t="shared" si="5"/>
        <v>31415.928127447321</v>
      </c>
      <c r="J18" s="10">
        <f t="shared" si="5"/>
        <v>3141592.6536057084</v>
      </c>
    </row>
    <row r="19" spans="3:11" x14ac:dyDescent="0.25">
      <c r="C19" s="37"/>
      <c r="D19" s="10">
        <f t="shared" ref="D19:J19" si="6">SQRT(D11^2+$D$1^2)</f>
        <v>10.000000004934803</v>
      </c>
      <c r="E19" s="10">
        <f t="shared" si="6"/>
        <v>10.000049347900244</v>
      </c>
      <c r="F19" s="10">
        <f t="shared" si="6"/>
        <v>10.004933585187404</v>
      </c>
      <c r="G19" s="10">
        <f t="shared" si="6"/>
        <v>10.481870272097884</v>
      </c>
      <c r="H19" s="10">
        <f t="shared" si="6"/>
        <v>314.31838000806374</v>
      </c>
      <c r="I19" s="10">
        <f t="shared" si="6"/>
        <v>314159.26551813423</v>
      </c>
      <c r="J19" s="10">
        <f t="shared" si="6"/>
        <v>31415926.53589952</v>
      </c>
    </row>
    <row r="20" spans="3:11" x14ac:dyDescent="0.25">
      <c r="C20" s="37"/>
      <c r="D20" s="10">
        <f t="shared" ref="D20:J20" si="7">SQRT(D12^2+$D$1^2)</f>
        <v>10.000001973920686</v>
      </c>
      <c r="E20" s="10">
        <f t="shared" si="7"/>
        <v>10.019719765344915</v>
      </c>
      <c r="F20" s="10">
        <f t="shared" si="7"/>
        <v>11.810098120013967</v>
      </c>
      <c r="G20" s="10">
        <f t="shared" si="7"/>
        <v>63.622651315673281</v>
      </c>
      <c r="H20" s="10">
        <f t="shared" si="7"/>
        <v>6283.1932649217015</v>
      </c>
      <c r="I20" s="10">
        <f t="shared" si="7"/>
        <v>6283185.3071875442</v>
      </c>
      <c r="J20" s="10">
        <f t="shared" si="7"/>
        <v>628318530.71795869</v>
      </c>
    </row>
    <row r="23" spans="3:11" x14ac:dyDescent="0.25">
      <c r="C23" s="40" t="s">
        <v>19</v>
      </c>
      <c r="D23">
        <f>$D$2/D15</f>
        <v>9.9999999999999811E-2</v>
      </c>
      <c r="E23">
        <f t="shared" ref="E23:J23" si="8">$D$2/E15</f>
        <v>9.9999999998026071E-2</v>
      </c>
      <c r="F23">
        <f t="shared" si="8"/>
        <v>9.9999999802607903E-2</v>
      </c>
      <c r="G23">
        <f t="shared" si="8"/>
        <v>9.9999980260797039E-2</v>
      </c>
      <c r="H23">
        <f t="shared" si="8"/>
        <v>9.9803190450364496E-2</v>
      </c>
      <c r="I23">
        <f t="shared" si="8"/>
        <v>1.5913478971147695E-3</v>
      </c>
      <c r="J23">
        <f t="shared" si="8"/>
        <v>1.5915494107617447E-5</v>
      </c>
    </row>
    <row r="24" spans="3:11" x14ac:dyDescent="0.25">
      <c r="C24" s="40"/>
      <c r="D24">
        <f t="shared" ref="D24:J24" si="9">$D$2/D16</f>
        <v>9.9999999999995065E-2</v>
      </c>
      <c r="E24">
        <f t="shared" si="9"/>
        <v>9.9999999950651966E-2</v>
      </c>
      <c r="F24">
        <f t="shared" si="9"/>
        <v>9.9999995065198161E-2</v>
      </c>
      <c r="G24">
        <f t="shared" si="9"/>
        <v>9.9999506523432757E-2</v>
      </c>
      <c r="H24">
        <f t="shared" si="9"/>
        <v>9.5402821637846497E-2</v>
      </c>
      <c r="I24">
        <f t="shared" si="9"/>
        <v>3.1830827361932306E-4</v>
      </c>
      <c r="J24">
        <f t="shared" si="9"/>
        <v>3.1830988602253304E-6</v>
      </c>
    </row>
    <row r="25" spans="3:11" x14ac:dyDescent="0.25">
      <c r="C25" s="40"/>
      <c r="D25">
        <f t="shared" ref="D25:J25" si="10">$D$2/D17</f>
        <v>9.9999999999980271E-2</v>
      </c>
      <c r="E25">
        <f t="shared" si="10"/>
        <v>9.9999999802607903E-2</v>
      </c>
      <c r="F25">
        <f t="shared" si="10"/>
        <v>9.9999980260797039E-2</v>
      </c>
      <c r="G25">
        <f t="shared" si="10"/>
        <v>9.9998026137563326E-2</v>
      </c>
      <c r="H25">
        <f t="shared" si="10"/>
        <v>8.467330159648305E-2</v>
      </c>
      <c r="I25">
        <f t="shared" si="10"/>
        <v>1.5915474152018808E-4</v>
      </c>
      <c r="J25">
        <f t="shared" si="10"/>
        <v>1.5915494307173815E-6</v>
      </c>
    </row>
    <row r="26" spans="3:11" x14ac:dyDescent="0.25">
      <c r="C26" s="40"/>
      <c r="D26">
        <f t="shared" ref="D26:J26" si="11">$D$2/D18</f>
        <v>9.9999999999506525E-2</v>
      </c>
      <c r="E26">
        <f t="shared" si="11"/>
        <v>9.9999995065198161E-2</v>
      </c>
      <c r="F26">
        <f t="shared" si="11"/>
        <v>9.9999506523432757E-2</v>
      </c>
      <c r="G26">
        <f t="shared" si="11"/>
        <v>9.9950688476386204E-2</v>
      </c>
      <c r="H26">
        <f t="shared" si="11"/>
        <v>3.0331447105335287E-2</v>
      </c>
      <c r="I26">
        <f t="shared" si="11"/>
        <v>3.1830987005802472E-5</v>
      </c>
      <c r="J26">
        <f t="shared" si="11"/>
        <v>3.1830988618217811E-7</v>
      </c>
    </row>
    <row r="27" spans="3:11" x14ac:dyDescent="0.25">
      <c r="C27" s="40"/>
      <c r="D27">
        <f t="shared" ref="D27:J27" si="12">$D$2/D19</f>
        <v>9.9999999950651966E-2</v>
      </c>
      <c r="E27">
        <f t="shared" si="12"/>
        <v>9.9999506523432757E-2</v>
      </c>
      <c r="F27">
        <f t="shared" si="12"/>
        <v>9.9950688476386204E-2</v>
      </c>
      <c r="G27">
        <f t="shared" si="12"/>
        <v>9.5402821637846497E-2</v>
      </c>
      <c r="H27">
        <f t="shared" si="12"/>
        <v>3.1814875094938618E-3</v>
      </c>
      <c r="I27">
        <f t="shared" si="12"/>
        <v>3.1830988602253304E-6</v>
      </c>
      <c r="J27">
        <f t="shared" si="12"/>
        <v>3.183098861837746E-8</v>
      </c>
    </row>
    <row r="28" spans="3:11" x14ac:dyDescent="0.25">
      <c r="C28" s="40"/>
      <c r="D28">
        <f t="shared" ref="D28:I28" si="13">$D$2/D20</f>
        <v>9.9999980260797039E-2</v>
      </c>
      <c r="E28">
        <f t="shared" si="13"/>
        <v>9.9803190450364496E-2</v>
      </c>
      <c r="F28">
        <f t="shared" si="13"/>
        <v>8.467330159648305E-2</v>
      </c>
      <c r="G28">
        <f t="shared" si="13"/>
        <v>1.5717672547758986E-2</v>
      </c>
      <c r="H28">
        <f t="shared" si="13"/>
        <v>1.5915474152018808E-4</v>
      </c>
      <c r="I28">
        <f t="shared" si="13"/>
        <v>1.5915494309169375E-7</v>
      </c>
      <c r="J28">
        <f>$D$2/J20</f>
        <v>1.5915494309189533E-9</v>
      </c>
    </row>
    <row r="30" spans="3:11" x14ac:dyDescent="0.25">
      <c r="C30" s="41" t="s">
        <v>34</v>
      </c>
      <c r="D30" s="41"/>
      <c r="E30" s="41"/>
      <c r="F30" s="41"/>
      <c r="G30" s="41"/>
      <c r="H30" s="41"/>
      <c r="I30" s="41"/>
      <c r="J30" s="41"/>
    </row>
    <row r="31" spans="3:11" x14ac:dyDescent="0.25">
      <c r="C31" s="38" t="s">
        <v>27</v>
      </c>
      <c r="D31" s="10">
        <f>DEGREES(ATAN(D7/$D$1))</f>
        <v>3.5999999999999956E-6</v>
      </c>
      <c r="E31" s="10">
        <f>DEGREES(ATAN(E7/$D$1))</f>
        <v>3.599999999952626E-4</v>
      </c>
      <c r="F31" s="10">
        <f t="shared" ref="F31:J31" si="14">DEGREES(ATAN(F7/$D$1))</f>
        <v>3.5999999952625898E-3</v>
      </c>
      <c r="G31" s="10">
        <f t="shared" si="14"/>
        <v>3.5999995262591011E-2</v>
      </c>
      <c r="H31" s="22">
        <f t="shared" si="14"/>
        <v>3.5952737798681755</v>
      </c>
      <c r="I31" s="23">
        <f t="shared" si="14"/>
        <v>89.088186330386165</v>
      </c>
      <c r="J31" s="23">
        <f t="shared" si="14"/>
        <v>89.990881093549177</v>
      </c>
      <c r="K31" t="s">
        <v>36</v>
      </c>
    </row>
    <row r="32" spans="3:11" x14ac:dyDescent="0.25">
      <c r="C32" s="38"/>
      <c r="D32" s="10">
        <f t="shared" ref="D32:J32" si="15">DEGREES(ATAN(D8/$D$1))</f>
        <v>1.7999999999999408E-5</v>
      </c>
      <c r="E32" s="10">
        <f t="shared" si="15"/>
        <v>1.7999999994078235E-3</v>
      </c>
      <c r="F32" s="10">
        <f t="shared" si="15"/>
        <v>1.799999940782377E-2</v>
      </c>
      <c r="G32" s="10">
        <f t="shared" si="15"/>
        <v>0.17999940782724266</v>
      </c>
      <c r="H32" s="22">
        <f t="shared" si="15"/>
        <v>17.44059449051187</v>
      </c>
      <c r="I32" s="22">
        <f t="shared" si="15"/>
        <v>89.817622485398985</v>
      </c>
      <c r="J32" s="22">
        <f t="shared" si="15"/>
        <v>89.99817621869505</v>
      </c>
      <c r="K32" t="s">
        <v>35</v>
      </c>
    </row>
    <row r="33" spans="3:10" x14ac:dyDescent="0.25">
      <c r="C33" s="38"/>
      <c r="D33" s="10">
        <f t="shared" ref="D33:J33" si="16">DEGREES(ATAN(D9/$D$1))</f>
        <v>3.5999999999995258E-5</v>
      </c>
      <c r="E33" s="10">
        <f t="shared" si="16"/>
        <v>3.5999999952625898E-3</v>
      </c>
      <c r="F33" s="10">
        <f t="shared" si="16"/>
        <v>3.5999995262591011E-2</v>
      </c>
      <c r="G33" s="10">
        <f t="shared" si="16"/>
        <v>0.35999526270209958</v>
      </c>
      <c r="H33" s="23">
        <f t="shared" si="16"/>
        <v>32.141907635342058</v>
      </c>
      <c r="I33" s="23">
        <f t="shared" si="16"/>
        <v>89.908811011716651</v>
      </c>
      <c r="J33" s="23">
        <f t="shared" si="16"/>
        <v>89.999088109347298</v>
      </c>
    </row>
    <row r="34" spans="3:10" x14ac:dyDescent="0.25">
      <c r="C34" s="38"/>
      <c r="D34" s="10">
        <f t="shared" ref="D34:J34" si="17">DEGREES(ATAN(D10/$D$1))</f>
        <v>1.7999999999940782E-4</v>
      </c>
      <c r="E34" s="10">
        <f t="shared" si="17"/>
        <v>1.799999940782377E-2</v>
      </c>
      <c r="F34" s="10">
        <f t="shared" si="17"/>
        <v>0.17999940782724266</v>
      </c>
      <c r="G34" s="10">
        <f t="shared" si="17"/>
        <v>1.7994081741616377</v>
      </c>
      <c r="H34" s="23">
        <f t="shared" si="17"/>
        <v>72.343212848587143</v>
      </c>
      <c r="I34" s="23">
        <f t="shared" si="17"/>
        <v>89.981762187560349</v>
      </c>
      <c r="J34" s="23">
        <f t="shared" si="17"/>
        <v>89.99981762186944</v>
      </c>
    </row>
    <row r="35" spans="3:10" x14ac:dyDescent="0.25">
      <c r="C35" s="38"/>
      <c r="D35" s="10">
        <f t="shared" ref="D35:J35" si="18">DEGREES(ATAN(D11/$D$1))</f>
        <v>1.7999999994078235E-3</v>
      </c>
      <c r="E35" s="10">
        <f t="shared" si="18"/>
        <v>0.17999940782724264</v>
      </c>
      <c r="F35" s="10">
        <f t="shared" si="18"/>
        <v>1.7994081741616372</v>
      </c>
      <c r="G35" s="23">
        <f t="shared" si="18"/>
        <v>17.44059449051187</v>
      </c>
      <c r="H35" s="23">
        <f t="shared" si="18"/>
        <v>88.176834279185869</v>
      </c>
      <c r="I35" s="23">
        <f t="shared" si="18"/>
        <v>89.99817621869505</v>
      </c>
      <c r="J35" s="23">
        <f t="shared" si="18"/>
        <v>89.999981762186948</v>
      </c>
    </row>
    <row r="36" spans="3:10" x14ac:dyDescent="0.25">
      <c r="C36" s="38"/>
      <c r="D36" s="10">
        <f t="shared" ref="D36:J36" si="19">DEGREES(ATAN(D12/$D$1))</f>
        <v>3.5999995262591011E-2</v>
      </c>
      <c r="E36" s="10">
        <f t="shared" si="19"/>
        <v>3.5952737798681755</v>
      </c>
      <c r="F36" s="23">
        <f t="shared" si="19"/>
        <v>32.141907635342051</v>
      </c>
      <c r="G36" s="23">
        <f t="shared" si="19"/>
        <v>80.956938920962315</v>
      </c>
      <c r="H36" s="23">
        <f t="shared" si="19"/>
        <v>89.908811011716651</v>
      </c>
      <c r="I36" s="23">
        <f t="shared" si="19"/>
        <v>89.999908810934727</v>
      </c>
      <c r="J36" s="23">
        <f t="shared" si="19"/>
        <v>89.999999088109348</v>
      </c>
    </row>
    <row r="39" spans="3:10" x14ac:dyDescent="0.25">
      <c r="C39">
        <v>0.1</v>
      </c>
    </row>
    <row r="40" spans="3:10" x14ac:dyDescent="0.25">
      <c r="C40">
        <f>C39+0.1</f>
        <v>0.2</v>
      </c>
    </row>
    <row r="41" spans="3:10" x14ac:dyDescent="0.25">
      <c r="C41">
        <f t="shared" ref="C41:C47" si="20">C40+0.1</f>
        <v>0.30000000000000004</v>
      </c>
    </row>
    <row r="42" spans="3:10" x14ac:dyDescent="0.25">
      <c r="C42">
        <f t="shared" si="20"/>
        <v>0.4</v>
      </c>
    </row>
    <row r="43" spans="3:10" x14ac:dyDescent="0.25">
      <c r="C43">
        <f t="shared" si="20"/>
        <v>0.5</v>
      </c>
    </row>
    <row r="44" spans="3:10" x14ac:dyDescent="0.25">
      <c r="C44">
        <f t="shared" si="20"/>
        <v>0.6</v>
      </c>
    </row>
    <row r="45" spans="3:10" x14ac:dyDescent="0.25">
      <c r="C45">
        <f t="shared" si="20"/>
        <v>0.7</v>
      </c>
    </row>
    <row r="46" spans="3:10" x14ac:dyDescent="0.25">
      <c r="C46">
        <f t="shared" si="20"/>
        <v>0.79999999999999993</v>
      </c>
    </row>
    <row r="47" spans="3:10" x14ac:dyDescent="0.25">
      <c r="C47">
        <f t="shared" si="20"/>
        <v>0.89999999999999991</v>
      </c>
    </row>
    <row r="48" spans="3:10" x14ac:dyDescent="0.25">
      <c r="C48">
        <f>C47+0.1</f>
        <v>0.99999999999999989</v>
      </c>
    </row>
  </sheetData>
  <mergeCells count="7">
    <mergeCell ref="C15:C20"/>
    <mergeCell ref="C31:C36"/>
    <mergeCell ref="D5:J5"/>
    <mergeCell ref="B7:B12"/>
    <mergeCell ref="B4:J4"/>
    <mergeCell ref="C23:C28"/>
    <mergeCell ref="C30:J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sinewave</vt:lpstr>
      <vt:lpstr>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Rafał</dc:creator>
  <cp:lastModifiedBy>Rafał</cp:lastModifiedBy>
  <dcterms:created xsi:type="dcterms:W3CDTF">2019-11-06T19:48:55Z</dcterms:created>
  <dcterms:modified xsi:type="dcterms:W3CDTF">2025-01-19T16:33:08Z</dcterms:modified>
</cp:coreProperties>
</file>