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y\reszta\LCRmeter\misc\"/>
    </mc:Choice>
  </mc:AlternateContent>
  <xr:revisionPtr revIDLastSave="0" documentId="13_ncr:1_{5F96A5F0-8886-460E-9D9A-6BCB5CA81465}" xr6:coauthVersionLast="45" xr6:coauthVersionMax="45" xr10:uidLastSave="{00000000-0000-0000-0000-000000000000}"/>
  <bookViews>
    <workbookView xWindow="13065" yWindow="2670" windowWidth="51180" windowHeight="28170" xr2:uid="{E87E0838-13C8-43A6-B33A-F14C82948CED}"/>
  </bookViews>
  <sheets>
    <sheet name="sinewave" sheetId="1" r:id="rId1"/>
    <sheet name="r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1" l="1"/>
  <c r="F42" i="1" s="1"/>
  <c r="G43" i="1" s="1"/>
  <c r="E31" i="2"/>
  <c r="E8" i="2"/>
  <c r="C48" i="2" l="1"/>
  <c r="C41" i="2"/>
  <c r="C42" i="2" s="1"/>
  <c r="C43" i="2" s="1"/>
  <c r="C44" i="2" s="1"/>
  <c r="C45" i="2" s="1"/>
  <c r="C46" i="2" s="1"/>
  <c r="C47" i="2" s="1"/>
  <c r="C40" i="2"/>
  <c r="D31" i="2"/>
  <c r="D32" i="2"/>
  <c r="E32" i="2"/>
  <c r="F32" i="2"/>
  <c r="G32" i="2"/>
  <c r="H32" i="2"/>
  <c r="I32" i="2"/>
  <c r="J32" i="2"/>
  <c r="D33" i="2"/>
  <c r="E33" i="2"/>
  <c r="F33" i="2"/>
  <c r="G33" i="2"/>
  <c r="H33" i="2"/>
  <c r="I33" i="2"/>
  <c r="J33" i="2"/>
  <c r="D34" i="2"/>
  <c r="E34" i="2"/>
  <c r="F34" i="2"/>
  <c r="G34" i="2"/>
  <c r="H34" i="2"/>
  <c r="I34" i="2"/>
  <c r="J34" i="2"/>
  <c r="D35" i="2"/>
  <c r="E35" i="2"/>
  <c r="F35" i="2"/>
  <c r="G35" i="2"/>
  <c r="H35" i="2"/>
  <c r="I35" i="2"/>
  <c r="J35" i="2"/>
  <c r="D36" i="2"/>
  <c r="E36" i="2"/>
  <c r="F36" i="2"/>
  <c r="G36" i="2"/>
  <c r="H36" i="2"/>
  <c r="I36" i="2"/>
  <c r="J36" i="2"/>
  <c r="F31" i="2"/>
  <c r="G31" i="2"/>
  <c r="H31" i="2"/>
  <c r="I31" i="2"/>
  <c r="J31" i="2"/>
  <c r="D16" i="2" l="1"/>
  <c r="D24" i="2" s="1"/>
  <c r="E16" i="2"/>
  <c r="E24" i="2" s="1"/>
  <c r="F16" i="2"/>
  <c r="F24" i="2" s="1"/>
  <c r="G16" i="2"/>
  <c r="G24" i="2" s="1"/>
  <c r="H16" i="2"/>
  <c r="H24" i="2" s="1"/>
  <c r="I16" i="2"/>
  <c r="I24" i="2" s="1"/>
  <c r="J16" i="2"/>
  <c r="J24" i="2" s="1"/>
  <c r="D17" i="2"/>
  <c r="D25" i="2" s="1"/>
  <c r="E17" i="2"/>
  <c r="E25" i="2" s="1"/>
  <c r="F17" i="2"/>
  <c r="F25" i="2" s="1"/>
  <c r="G17" i="2"/>
  <c r="G25" i="2" s="1"/>
  <c r="H17" i="2"/>
  <c r="H25" i="2" s="1"/>
  <c r="I17" i="2"/>
  <c r="I25" i="2" s="1"/>
  <c r="J17" i="2"/>
  <c r="J25" i="2" s="1"/>
  <c r="D18" i="2"/>
  <c r="D26" i="2" s="1"/>
  <c r="E18" i="2"/>
  <c r="E26" i="2" s="1"/>
  <c r="F18" i="2"/>
  <c r="F26" i="2" s="1"/>
  <c r="G18" i="2"/>
  <c r="G26" i="2" s="1"/>
  <c r="H18" i="2"/>
  <c r="H26" i="2" s="1"/>
  <c r="I18" i="2"/>
  <c r="I26" i="2" s="1"/>
  <c r="J18" i="2"/>
  <c r="J26" i="2" s="1"/>
  <c r="D19" i="2"/>
  <c r="D27" i="2" s="1"/>
  <c r="E19" i="2"/>
  <c r="E27" i="2" s="1"/>
  <c r="F19" i="2"/>
  <c r="F27" i="2" s="1"/>
  <c r="G19" i="2"/>
  <c r="G27" i="2" s="1"/>
  <c r="H19" i="2"/>
  <c r="H27" i="2" s="1"/>
  <c r="I19" i="2"/>
  <c r="I27" i="2" s="1"/>
  <c r="J19" i="2"/>
  <c r="J27" i="2" s="1"/>
  <c r="D20" i="2"/>
  <c r="D28" i="2" s="1"/>
  <c r="E20" i="2"/>
  <c r="E28" i="2" s="1"/>
  <c r="F20" i="2"/>
  <c r="F28" i="2" s="1"/>
  <c r="G20" i="2"/>
  <c r="G28" i="2" s="1"/>
  <c r="H20" i="2"/>
  <c r="H28" i="2" s="1"/>
  <c r="I20" i="2"/>
  <c r="I28" i="2" s="1"/>
  <c r="J20" i="2"/>
  <c r="J28" i="2" s="1"/>
  <c r="E15" i="2"/>
  <c r="E23" i="2" s="1"/>
  <c r="F15" i="2"/>
  <c r="F23" i="2" s="1"/>
  <c r="G15" i="2"/>
  <c r="G23" i="2" s="1"/>
  <c r="H15" i="2"/>
  <c r="H23" i="2" s="1"/>
  <c r="I15" i="2"/>
  <c r="I23" i="2" s="1"/>
  <c r="J15" i="2"/>
  <c r="J23" i="2" s="1"/>
  <c r="D15" i="2"/>
  <c r="D23" i="2" s="1"/>
  <c r="H10" i="2"/>
  <c r="D8" i="2"/>
  <c r="F8" i="2"/>
  <c r="G8" i="2"/>
  <c r="H8" i="2"/>
  <c r="I8" i="2"/>
  <c r="J8" i="2"/>
  <c r="D9" i="2"/>
  <c r="E9" i="2"/>
  <c r="F9" i="2"/>
  <c r="G9" i="2"/>
  <c r="H9" i="2"/>
  <c r="I9" i="2"/>
  <c r="J9" i="2"/>
  <c r="D10" i="2"/>
  <c r="E10" i="2"/>
  <c r="F10" i="2"/>
  <c r="G10" i="2"/>
  <c r="I10" i="2"/>
  <c r="J10" i="2"/>
  <c r="D11" i="2"/>
  <c r="E11" i="2"/>
  <c r="F11" i="2"/>
  <c r="G11" i="2"/>
  <c r="H11" i="2"/>
  <c r="I11" i="2"/>
  <c r="J11" i="2"/>
  <c r="D12" i="2"/>
  <c r="E12" i="2"/>
  <c r="F12" i="2"/>
  <c r="G12" i="2"/>
  <c r="H12" i="2"/>
  <c r="I12" i="2"/>
  <c r="J12" i="2"/>
  <c r="E7" i="2"/>
  <c r="F7" i="2"/>
  <c r="G7" i="2"/>
  <c r="H7" i="2"/>
  <c r="I7" i="2"/>
  <c r="J7" i="2"/>
  <c r="D7" i="2"/>
  <c r="G21" i="1"/>
  <c r="E21" i="1"/>
  <c r="E12" i="1"/>
  <c r="G12" i="1" s="1"/>
  <c r="E17" i="1"/>
  <c r="G17" i="1" s="1"/>
  <c r="D39" i="1" l="1"/>
  <c r="E39" i="1" s="1"/>
  <c r="F39" i="1"/>
  <c r="G39" i="1" s="1"/>
  <c r="F34" i="1"/>
  <c r="G34" i="1" s="1"/>
  <c r="D34" i="1"/>
  <c r="E34" i="1" s="1"/>
  <c r="B24" i="1"/>
  <c r="B26" i="1" s="1"/>
  <c r="E22" i="1" l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13" i="1" l="1"/>
  <c r="G13" i="1" s="1"/>
  <c r="E14" i="1"/>
  <c r="G14" i="1" s="1"/>
  <c r="E15" i="1"/>
  <c r="G15" i="1" s="1"/>
  <c r="E16" i="1"/>
  <c r="G16" i="1" s="1"/>
  <c r="E18" i="1"/>
  <c r="G18" i="1" s="1"/>
  <c r="E11" i="1"/>
  <c r="G11" i="1" s="1"/>
  <c r="D37" i="1" l="1"/>
  <c r="E37" i="1" s="1"/>
  <c r="F37" i="1"/>
  <c r="G37" i="1" s="1"/>
  <c r="D38" i="1"/>
  <c r="E38" i="1" s="1"/>
  <c r="F38" i="1"/>
  <c r="G38" i="1" s="1"/>
  <c r="D33" i="1"/>
  <c r="E33" i="1" s="1"/>
  <c r="F33" i="1"/>
  <c r="G33" i="1" s="1"/>
  <c r="F36" i="1"/>
  <c r="G36" i="1" s="1"/>
  <c r="D36" i="1"/>
  <c r="E36" i="1" s="1"/>
  <c r="F40" i="1"/>
  <c r="G40" i="1" s="1"/>
  <c r="D40" i="1"/>
  <c r="E40" i="1" s="1"/>
  <c r="D35" i="1"/>
  <c r="E35" i="1" s="1"/>
  <c r="F35" i="1"/>
  <c r="G35" i="1" s="1"/>
  <c r="I2" i="1"/>
  <c r="H4" i="1" l="1"/>
  <c r="A12" i="1"/>
  <c r="H5" i="1" l="1"/>
  <c r="I5" i="1" s="1"/>
  <c r="I4" i="1"/>
  <c r="B14" i="1"/>
  <c r="B16" i="1" s="1"/>
  <c r="H6" i="1"/>
  <c r="B15" i="1"/>
  <c r="A4" i="1"/>
  <c r="B1" i="1" s="1"/>
  <c r="H7" i="1" l="1"/>
  <c r="I7" i="1" s="1"/>
  <c r="I6" i="1"/>
  <c r="B3" i="1"/>
  <c r="C6" i="1" s="1"/>
  <c r="B2" i="1"/>
  <c r="H8" i="1"/>
  <c r="I8" i="1" s="1"/>
  <c r="H9" i="1" l="1"/>
  <c r="I9" i="1" s="1"/>
  <c r="H10" i="1" l="1"/>
  <c r="I10" i="1" s="1"/>
  <c r="H11" i="1" l="1"/>
  <c r="I11" i="1" s="1"/>
  <c r="H12" i="1" l="1"/>
  <c r="I12" i="1" s="1"/>
  <c r="H13" i="1" l="1"/>
  <c r="I13" i="1" s="1"/>
  <c r="H14" i="1" l="1"/>
  <c r="I14" i="1" s="1"/>
  <c r="H15" i="1" l="1"/>
  <c r="I15" i="1" s="1"/>
  <c r="H16" i="1" l="1"/>
  <c r="I16" i="1" s="1"/>
  <c r="H17" i="1" l="1"/>
  <c r="I17" i="1" s="1"/>
  <c r="H18" i="1" l="1"/>
  <c r="I18" i="1" s="1"/>
  <c r="H19" i="1" l="1"/>
  <c r="I19" i="1" s="1"/>
  <c r="H20" i="1" l="1"/>
  <c r="I20" i="1" s="1"/>
  <c r="H21" i="1" l="1"/>
  <c r="I21" i="1" s="1"/>
  <c r="H22" i="1" l="1"/>
  <c r="I22" i="1" s="1"/>
  <c r="H23" i="1" l="1"/>
  <c r="I23" i="1" s="1"/>
  <c r="H24" i="1" l="1"/>
  <c r="I24" i="1" s="1"/>
  <c r="H25" i="1" l="1"/>
  <c r="I25" i="1" s="1"/>
  <c r="H26" i="1" l="1"/>
  <c r="I26" i="1" s="1"/>
  <c r="H27" i="1" l="1"/>
  <c r="I27" i="1" s="1"/>
  <c r="H28" i="1" l="1"/>
  <c r="I28" i="1" s="1"/>
  <c r="H29" i="1" l="1"/>
  <c r="I29" i="1" s="1"/>
  <c r="H30" i="1" l="1"/>
  <c r="I30" i="1" s="1"/>
  <c r="H31" i="1" l="1"/>
  <c r="I31" i="1" s="1"/>
  <c r="H32" i="1" l="1"/>
  <c r="I32" i="1" s="1"/>
  <c r="H33" i="1" l="1"/>
  <c r="I33" i="1" s="1"/>
  <c r="H34" i="1" l="1"/>
  <c r="I34" i="1" s="1"/>
  <c r="H35" i="1" l="1"/>
  <c r="I35" i="1" s="1"/>
  <c r="H36" i="1" l="1"/>
  <c r="I36" i="1" s="1"/>
  <c r="H37" i="1" l="1"/>
  <c r="I37" i="1" s="1"/>
  <c r="H38" i="1" l="1"/>
  <c r="I38" i="1" s="1"/>
  <c r="H39" i="1" l="1"/>
  <c r="I39" i="1" s="1"/>
  <c r="H40" i="1" l="1"/>
  <c r="I40" i="1" s="1"/>
  <c r="H41" i="1" l="1"/>
  <c r="I41" i="1" s="1"/>
  <c r="H42" i="1" l="1"/>
  <c r="I42" i="1" s="1"/>
  <c r="H43" i="1" l="1"/>
  <c r="I43" i="1" s="1"/>
  <c r="H44" i="1" l="1"/>
  <c r="I44" i="1" s="1"/>
  <c r="H45" i="1" l="1"/>
  <c r="I45" i="1" s="1"/>
  <c r="H46" i="1" l="1"/>
  <c r="I46" i="1" s="1"/>
  <c r="H47" i="1" l="1"/>
  <c r="I47" i="1" s="1"/>
  <c r="H48" i="1" l="1"/>
  <c r="I48" i="1" s="1"/>
  <c r="H49" i="1" l="1"/>
  <c r="I49" i="1" s="1"/>
  <c r="H50" i="1" l="1"/>
  <c r="I50" i="1" s="1"/>
  <c r="H51" i="1" l="1"/>
  <c r="I51" i="1" s="1"/>
  <c r="H52" i="1" l="1"/>
  <c r="I52" i="1" s="1"/>
  <c r="H53" i="1" l="1"/>
  <c r="I53" i="1" s="1"/>
  <c r="H54" i="1" l="1"/>
  <c r="I54" i="1" s="1"/>
  <c r="H55" i="1" l="1"/>
  <c r="I55" i="1" s="1"/>
  <c r="H56" i="1" l="1"/>
  <c r="I56" i="1" s="1"/>
  <c r="H57" i="1" l="1"/>
  <c r="I57" i="1" s="1"/>
  <c r="H58" i="1" l="1"/>
  <c r="I58" i="1" s="1"/>
  <c r="H59" i="1" l="1"/>
  <c r="I59" i="1" s="1"/>
  <c r="H60" i="1" l="1"/>
  <c r="I60" i="1" s="1"/>
  <c r="H61" i="1" l="1"/>
  <c r="I61" i="1" s="1"/>
  <c r="H62" i="1" l="1"/>
  <c r="I62" i="1" s="1"/>
  <c r="H63" i="1" l="1"/>
  <c r="I63" i="1" s="1"/>
  <c r="H64" i="1" l="1"/>
  <c r="I64" i="1" s="1"/>
  <c r="H65" i="1" l="1"/>
  <c r="I65" i="1" s="1"/>
  <c r="H66" i="1" l="1"/>
  <c r="I66" i="1" s="1"/>
  <c r="H67" i="1" l="1"/>
  <c r="I67" i="1" s="1"/>
  <c r="H68" i="1" l="1"/>
  <c r="I68" i="1" s="1"/>
  <c r="H69" i="1" l="1"/>
  <c r="I69" i="1" s="1"/>
  <c r="H70" i="1" l="1"/>
  <c r="I70" i="1" s="1"/>
  <c r="H71" i="1" l="1"/>
  <c r="I71" i="1" s="1"/>
  <c r="H72" i="1" l="1"/>
  <c r="I72" i="1" s="1"/>
  <c r="H73" i="1" l="1"/>
  <c r="I73" i="1" s="1"/>
  <c r="H74" i="1" l="1"/>
  <c r="I74" i="1" s="1"/>
  <c r="H75" i="1" l="1"/>
  <c r="I75" i="1" s="1"/>
  <c r="H76" i="1" l="1"/>
  <c r="I76" i="1" s="1"/>
  <c r="H77" i="1" l="1"/>
  <c r="I77" i="1" s="1"/>
  <c r="H78" i="1" l="1"/>
  <c r="I78" i="1" s="1"/>
  <c r="H79" i="1" l="1"/>
  <c r="I79" i="1" s="1"/>
  <c r="H80" i="1" l="1"/>
  <c r="I80" i="1" s="1"/>
  <c r="H81" i="1" l="1"/>
  <c r="I81" i="1" s="1"/>
  <c r="H82" i="1" l="1"/>
  <c r="I82" i="1" s="1"/>
  <c r="H83" i="1" l="1"/>
  <c r="I83" i="1" s="1"/>
  <c r="H84" i="1" l="1"/>
  <c r="I84" i="1" s="1"/>
  <c r="H85" i="1" l="1"/>
  <c r="I85" i="1" s="1"/>
  <c r="H86" i="1" l="1"/>
  <c r="I86" i="1" s="1"/>
  <c r="H87" i="1" l="1"/>
  <c r="I87" i="1" s="1"/>
  <c r="H88" i="1" l="1"/>
  <c r="I88" i="1" s="1"/>
  <c r="H89" i="1" l="1"/>
  <c r="I89" i="1" s="1"/>
  <c r="H90" i="1" l="1"/>
  <c r="I90" i="1" s="1"/>
  <c r="H91" i="1" l="1"/>
  <c r="I91" i="1" s="1"/>
  <c r="H92" i="1" l="1"/>
  <c r="I92" i="1" s="1"/>
  <c r="H93" i="1" l="1"/>
  <c r="I93" i="1" s="1"/>
  <c r="H94" i="1" l="1"/>
  <c r="I94" i="1" s="1"/>
  <c r="H95" i="1" l="1"/>
  <c r="I95" i="1" s="1"/>
  <c r="H96" i="1" l="1"/>
  <c r="I96" i="1" s="1"/>
  <c r="H97" i="1" l="1"/>
  <c r="I97" i="1" s="1"/>
  <c r="H98" i="1" l="1"/>
  <c r="I98" i="1" s="1"/>
  <c r="H99" i="1" l="1"/>
  <c r="I99" i="1" s="1"/>
  <c r="H100" i="1" l="1"/>
  <c r="I100" i="1" s="1"/>
  <c r="H101" i="1" l="1"/>
  <c r="I101" i="1" s="1"/>
  <c r="H102" i="1" l="1"/>
  <c r="I102" i="1" s="1"/>
  <c r="H103" i="1" l="1"/>
  <c r="I103" i="1" s="1"/>
  <c r="H104" i="1" l="1"/>
  <c r="I104" i="1" s="1"/>
  <c r="H105" i="1" l="1"/>
  <c r="I105" i="1" s="1"/>
  <c r="H106" i="1" l="1"/>
  <c r="I106" i="1" s="1"/>
  <c r="H107" i="1" l="1"/>
  <c r="I107" i="1" s="1"/>
  <c r="H108" i="1" l="1"/>
  <c r="I108" i="1" s="1"/>
  <c r="H109" i="1" l="1"/>
  <c r="I109" i="1" s="1"/>
  <c r="H110" i="1" l="1"/>
  <c r="I110" i="1" s="1"/>
  <c r="H111" i="1" l="1"/>
  <c r="I111" i="1" s="1"/>
  <c r="H112" i="1" l="1"/>
  <c r="I112" i="1" s="1"/>
  <c r="H113" i="1" l="1"/>
  <c r="I113" i="1" s="1"/>
  <c r="H114" i="1" l="1"/>
  <c r="I114" i="1" s="1"/>
  <c r="H115" i="1" l="1"/>
  <c r="I115" i="1" s="1"/>
  <c r="H116" i="1" l="1"/>
  <c r="I116" i="1" s="1"/>
  <c r="H117" i="1" l="1"/>
  <c r="I117" i="1" s="1"/>
  <c r="H118" i="1" l="1"/>
  <c r="I118" i="1" s="1"/>
  <c r="H119" i="1" l="1"/>
  <c r="I119" i="1" s="1"/>
  <c r="H120" i="1" l="1"/>
  <c r="I120" i="1" s="1"/>
  <c r="H121" i="1" l="1"/>
  <c r="I121" i="1" s="1"/>
  <c r="H122" i="1" l="1"/>
  <c r="I122" i="1" s="1"/>
  <c r="H123" i="1" l="1"/>
  <c r="I123" i="1" s="1"/>
  <c r="H124" i="1" l="1"/>
  <c r="I124" i="1" s="1"/>
  <c r="H125" i="1" l="1"/>
  <c r="I125" i="1" s="1"/>
  <c r="H126" i="1" l="1"/>
  <c r="I126" i="1" s="1"/>
  <c r="H127" i="1" l="1"/>
  <c r="I127" i="1" s="1"/>
  <c r="H128" i="1" l="1"/>
  <c r="I128" i="1" s="1"/>
  <c r="H129" i="1" l="1"/>
  <c r="I129" i="1" s="1"/>
  <c r="H130" i="1" l="1"/>
  <c r="I130" i="1" s="1"/>
  <c r="H131" i="1" l="1"/>
  <c r="I131" i="1" s="1"/>
  <c r="H132" i="1" l="1"/>
  <c r="I132" i="1" s="1"/>
  <c r="H133" i="1" l="1"/>
  <c r="I133" i="1" s="1"/>
  <c r="H134" i="1" l="1"/>
  <c r="I134" i="1" s="1"/>
  <c r="H135" i="1" l="1"/>
  <c r="I135" i="1" s="1"/>
  <c r="H136" i="1" l="1"/>
  <c r="I136" i="1" s="1"/>
  <c r="H137" i="1" l="1"/>
  <c r="I137" i="1" s="1"/>
  <c r="H138" i="1" l="1"/>
  <c r="I138" i="1" s="1"/>
  <c r="H139" i="1" l="1"/>
  <c r="I139" i="1" s="1"/>
  <c r="H140" i="1" l="1"/>
  <c r="I140" i="1" s="1"/>
  <c r="H141" i="1" l="1"/>
  <c r="I141" i="1" s="1"/>
  <c r="H142" i="1" l="1"/>
  <c r="I142" i="1" s="1"/>
  <c r="H143" i="1" l="1"/>
  <c r="I143" i="1" s="1"/>
  <c r="H144" i="1" l="1"/>
  <c r="I144" i="1" s="1"/>
  <c r="H145" i="1" l="1"/>
  <c r="I145" i="1" s="1"/>
  <c r="H146" i="1" l="1"/>
  <c r="I146" i="1" s="1"/>
  <c r="H147" i="1" l="1"/>
  <c r="I147" i="1" s="1"/>
  <c r="H148" i="1" l="1"/>
  <c r="I148" i="1" s="1"/>
  <c r="H149" i="1" l="1"/>
  <c r="I149" i="1" s="1"/>
  <c r="H150" i="1" l="1"/>
  <c r="I150" i="1" s="1"/>
  <c r="H151" i="1" l="1"/>
  <c r="I151" i="1" s="1"/>
  <c r="H152" i="1" l="1"/>
  <c r="I152" i="1" s="1"/>
  <c r="H153" i="1" l="1"/>
  <c r="I153" i="1" s="1"/>
  <c r="H154" i="1" l="1"/>
  <c r="I154" i="1" s="1"/>
  <c r="H155" i="1" l="1"/>
  <c r="I155" i="1" s="1"/>
  <c r="H156" i="1" l="1"/>
  <c r="I156" i="1" s="1"/>
  <c r="H157" i="1" l="1"/>
  <c r="I157" i="1" s="1"/>
  <c r="H158" i="1" l="1"/>
  <c r="I158" i="1" s="1"/>
  <c r="H159" i="1" l="1"/>
  <c r="I159" i="1" s="1"/>
  <c r="H160" i="1" l="1"/>
  <c r="I160" i="1" s="1"/>
  <c r="H161" i="1" l="1"/>
  <c r="I161" i="1" s="1"/>
  <c r="H162" i="1" l="1"/>
  <c r="I162" i="1" s="1"/>
  <c r="H163" i="1" l="1"/>
  <c r="I163" i="1" s="1"/>
  <c r="H164" i="1" l="1"/>
  <c r="I164" i="1" s="1"/>
  <c r="H165" i="1" l="1"/>
  <c r="I165" i="1" s="1"/>
  <c r="H166" i="1" l="1"/>
  <c r="I166" i="1" s="1"/>
  <c r="H167" i="1" l="1"/>
  <c r="I167" i="1" s="1"/>
  <c r="H168" i="1" l="1"/>
  <c r="I168" i="1" s="1"/>
  <c r="H169" i="1" l="1"/>
  <c r="I169" i="1" s="1"/>
  <c r="H170" i="1" l="1"/>
  <c r="I170" i="1" s="1"/>
  <c r="H171" i="1" l="1"/>
  <c r="I171" i="1" s="1"/>
  <c r="H172" i="1" l="1"/>
  <c r="I172" i="1" s="1"/>
  <c r="H173" i="1" l="1"/>
  <c r="I173" i="1" s="1"/>
  <c r="H174" i="1" l="1"/>
  <c r="I174" i="1" s="1"/>
  <c r="H175" i="1" l="1"/>
  <c r="I175" i="1" s="1"/>
  <c r="H176" i="1" l="1"/>
  <c r="I176" i="1" s="1"/>
  <c r="H177" i="1" l="1"/>
  <c r="I177" i="1" s="1"/>
  <c r="H178" i="1" l="1"/>
  <c r="I178" i="1" s="1"/>
  <c r="H179" i="1" l="1"/>
  <c r="I179" i="1" s="1"/>
  <c r="H180" i="1" l="1"/>
  <c r="I180" i="1" s="1"/>
  <c r="H181" i="1" l="1"/>
  <c r="I181" i="1" s="1"/>
  <c r="H182" i="1" l="1"/>
  <c r="I182" i="1" s="1"/>
  <c r="H183" i="1" l="1"/>
  <c r="I183" i="1" s="1"/>
  <c r="H184" i="1" l="1"/>
  <c r="I184" i="1" s="1"/>
  <c r="H185" i="1" l="1"/>
  <c r="I185" i="1" s="1"/>
  <c r="H186" i="1" l="1"/>
  <c r="I186" i="1" s="1"/>
  <c r="H187" i="1" l="1"/>
  <c r="I187" i="1" s="1"/>
  <c r="H188" i="1" l="1"/>
  <c r="I188" i="1" s="1"/>
  <c r="H189" i="1" l="1"/>
  <c r="I189" i="1" s="1"/>
  <c r="H190" i="1" l="1"/>
  <c r="I190" i="1" s="1"/>
  <c r="H191" i="1" l="1"/>
  <c r="I191" i="1" s="1"/>
  <c r="H192" i="1" l="1"/>
  <c r="I192" i="1" s="1"/>
  <c r="H193" i="1" l="1"/>
  <c r="I193" i="1" s="1"/>
  <c r="H194" i="1" l="1"/>
  <c r="I194" i="1" s="1"/>
  <c r="H195" i="1" l="1"/>
  <c r="I195" i="1" s="1"/>
  <c r="H196" i="1" l="1"/>
  <c r="I196" i="1" s="1"/>
  <c r="H197" i="1" l="1"/>
  <c r="I197" i="1" s="1"/>
  <c r="H198" i="1" l="1"/>
  <c r="I198" i="1" s="1"/>
  <c r="H199" i="1" l="1"/>
  <c r="I199" i="1" s="1"/>
  <c r="H200" i="1" l="1"/>
  <c r="I200" i="1" s="1"/>
  <c r="H201" i="1" l="1"/>
  <c r="I201" i="1" s="1"/>
  <c r="H202" i="1" l="1"/>
  <c r="I202" i="1" s="1"/>
  <c r="H203" i="1" l="1"/>
  <c r="I203" i="1" s="1"/>
  <c r="H204" i="1" l="1"/>
  <c r="I204" i="1" s="1"/>
  <c r="H205" i="1" l="1"/>
  <c r="I205" i="1" s="1"/>
  <c r="H206" i="1" l="1"/>
  <c r="I206" i="1" s="1"/>
  <c r="H207" i="1" l="1"/>
  <c r="I207" i="1" s="1"/>
  <c r="H208" i="1" l="1"/>
  <c r="I208" i="1" s="1"/>
  <c r="H209" i="1" l="1"/>
  <c r="I209" i="1" s="1"/>
  <c r="H210" i="1" l="1"/>
  <c r="I210" i="1" s="1"/>
  <c r="H211" i="1" l="1"/>
  <c r="I211" i="1" s="1"/>
  <c r="H212" i="1" l="1"/>
  <c r="I212" i="1" s="1"/>
  <c r="H213" i="1" l="1"/>
  <c r="I213" i="1" s="1"/>
  <c r="H214" i="1" l="1"/>
  <c r="I214" i="1" s="1"/>
  <c r="H215" i="1" l="1"/>
  <c r="I215" i="1" s="1"/>
  <c r="H216" i="1" l="1"/>
  <c r="I216" i="1" s="1"/>
  <c r="H217" i="1" l="1"/>
  <c r="I217" i="1" s="1"/>
  <c r="H218" i="1" l="1"/>
  <c r="I218" i="1" s="1"/>
  <c r="H219" i="1" l="1"/>
  <c r="I219" i="1" s="1"/>
  <c r="H220" i="1" l="1"/>
  <c r="I220" i="1" s="1"/>
  <c r="H221" i="1" l="1"/>
  <c r="I221" i="1" s="1"/>
  <c r="H222" i="1" l="1"/>
  <c r="I222" i="1" s="1"/>
  <c r="H223" i="1" l="1"/>
  <c r="I223" i="1" s="1"/>
  <c r="H224" i="1" l="1"/>
  <c r="I224" i="1" s="1"/>
  <c r="H225" i="1" l="1"/>
  <c r="I225" i="1" s="1"/>
  <c r="H226" i="1" l="1"/>
  <c r="I226" i="1" s="1"/>
  <c r="H227" i="1" l="1"/>
  <c r="I227" i="1" s="1"/>
  <c r="H228" i="1" l="1"/>
  <c r="I228" i="1" s="1"/>
  <c r="H229" i="1" l="1"/>
  <c r="I229" i="1" s="1"/>
  <c r="H230" i="1" l="1"/>
  <c r="I230" i="1" s="1"/>
  <c r="H231" i="1" l="1"/>
  <c r="I231" i="1" s="1"/>
  <c r="H232" i="1" l="1"/>
  <c r="I232" i="1" s="1"/>
  <c r="H233" i="1" l="1"/>
  <c r="I233" i="1" s="1"/>
  <c r="H234" i="1" l="1"/>
  <c r="I234" i="1" s="1"/>
  <c r="H235" i="1" l="1"/>
  <c r="I235" i="1" s="1"/>
  <c r="H236" i="1" l="1"/>
  <c r="I236" i="1" s="1"/>
  <c r="H237" i="1" l="1"/>
  <c r="I237" i="1" s="1"/>
  <c r="H238" i="1" l="1"/>
  <c r="I238" i="1" s="1"/>
  <c r="H239" i="1" l="1"/>
  <c r="I239" i="1" s="1"/>
  <c r="H240" i="1" l="1"/>
  <c r="I240" i="1" s="1"/>
  <c r="H241" i="1" l="1"/>
  <c r="I241" i="1" s="1"/>
  <c r="H242" i="1" l="1"/>
  <c r="I242" i="1" s="1"/>
  <c r="H243" i="1" l="1"/>
  <c r="I243" i="1" s="1"/>
  <c r="H244" i="1" l="1"/>
  <c r="I244" i="1" s="1"/>
  <c r="H245" i="1" l="1"/>
  <c r="I245" i="1" s="1"/>
  <c r="H246" i="1" l="1"/>
  <c r="I246" i="1" s="1"/>
  <c r="H247" i="1" l="1"/>
  <c r="I247" i="1" s="1"/>
  <c r="H248" i="1" l="1"/>
  <c r="I248" i="1" s="1"/>
  <c r="H249" i="1" l="1"/>
  <c r="I249" i="1" s="1"/>
  <c r="H250" i="1" l="1"/>
  <c r="I250" i="1" s="1"/>
  <c r="H251" i="1" l="1"/>
  <c r="I251" i="1" s="1"/>
  <c r="H252" i="1" l="1"/>
  <c r="I252" i="1" s="1"/>
  <c r="H253" i="1" l="1"/>
  <c r="I253" i="1" s="1"/>
  <c r="H254" i="1" l="1"/>
  <c r="I254" i="1" s="1"/>
  <c r="H255" i="1" l="1"/>
  <c r="I255" i="1" s="1"/>
  <c r="H256" i="1" l="1"/>
  <c r="I256" i="1" s="1"/>
  <c r="H257" i="1" l="1"/>
  <c r="I257" i="1" s="1"/>
  <c r="H258" i="1" l="1"/>
  <c r="I258" i="1" s="1"/>
  <c r="H259" i="1" l="1"/>
  <c r="I259" i="1" s="1"/>
</calcChain>
</file>

<file path=xl/sharedStrings.xml><?xml version="1.0" encoding="utf-8"?>
<sst xmlns="http://schemas.openxmlformats.org/spreadsheetml/2006/main" count="307" uniqueCount="47">
  <si>
    <t>rad</t>
  </si>
  <si>
    <t>Vx</t>
  </si>
  <si>
    <t>Vrs</t>
  </si>
  <si>
    <t>Ulx</t>
  </si>
  <si>
    <t>loss angle for capacitance</t>
  </si>
  <si>
    <t>Vg</t>
  </si>
  <si>
    <t>,</t>
  </si>
  <si>
    <t>12Mhz</t>
  </si>
  <si>
    <t>PI</t>
  </si>
  <si>
    <t>value</t>
  </si>
  <si>
    <t>Sine table</t>
  </si>
  <si>
    <t>9Mhz</t>
  </si>
  <si>
    <t>ADC sampling time in microseconds, based on clock cycles. (Fcpu=72mhz)</t>
  </si>
  <si>
    <t>DO NOT USE THIS AS 100% CORRECT SOURCE</t>
  </si>
  <si>
    <t>Rs</t>
  </si>
  <si>
    <t>L1</t>
  </si>
  <si>
    <t>f</t>
  </si>
  <si>
    <t>Inductor</t>
  </si>
  <si>
    <t>Reactance</t>
  </si>
  <si>
    <t>current</t>
  </si>
  <si>
    <t>ADC cycles</t>
  </si>
  <si>
    <t>sampling time [s]</t>
  </si>
  <si>
    <t>sampling time [us]</t>
  </si>
  <si>
    <t>sinewave samples</t>
  </si>
  <si>
    <t>Vmax</t>
  </si>
  <si>
    <t>reactance of inductor [ohm]</t>
  </si>
  <si>
    <t>impedance of whole circuit</t>
  </si>
  <si>
    <t>phase shift</t>
  </si>
  <si>
    <t>Becuase sampling time equals one sample - resolution</t>
  </si>
  <si>
    <t>Frequency of sinewave in real hardware</t>
  </si>
  <si>
    <t>after averaging with step size 5</t>
  </si>
  <si>
    <t>detectable phase shift in degrees</t>
  </si>
  <si>
    <t>inductance [H]</t>
  </si>
  <si>
    <t>freqyuncy [Hz]</t>
  </si>
  <si>
    <t>From "sinewave" tab let's assume that minimal detectable phase shift is 1 deg.</t>
  </si>
  <si>
    <t>freq = 500 hz, 1mH is feasoble to detect.</t>
  </si>
  <si>
    <t>freq = 100 hz, 1mH is feasoble to detect.</t>
  </si>
  <si>
    <t>frequency in Hz</t>
  </si>
  <si>
    <t>For g4 and 5Khz</t>
  </si>
  <si>
    <t xml:space="preserve">ADC cycles </t>
  </si>
  <si>
    <t>for 60 mHZ</t>
  </si>
  <si>
    <t>after 5 mean averaging</t>
  </si>
  <si>
    <t>OBSOLETE below</t>
  </si>
  <si>
    <t>offset</t>
  </si>
  <si>
    <t>amplitude</t>
  </si>
  <si>
    <t>8 bit</t>
  </si>
  <si>
    <t>8bit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</si>
</sst>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auto="1"/>
      </right>
      <top style="thick">
        <color rgb="FFFF0000"/>
      </top>
      <bottom/>
      <diagonal/>
    </border>
    <border>
      <left style="thin">
        <color auto="1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ck">
        <color auto="1"/>
      </right>
      <top/>
      <bottom style="thin">
        <color rgb="FF00B0F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8" applyNumberFormat="0" applyAlignment="0" applyProtection="0"/>
    <xf numFmtId="0" fontId="4" fillId="5" borderId="20" applyNumberFormat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1" fontId="0" fillId="0" borderId="9" xfId="0" applyNumberFormat="1" applyBorder="1"/>
    <xf numFmtId="0" fontId="0" fillId="0" borderId="19" xfId="0" applyBorder="1"/>
    <xf numFmtId="0" fontId="3" fillId="4" borderId="19" xfId="3" applyBorder="1"/>
    <xf numFmtId="0" fontId="1" fillId="2" borderId="9" xfId="1" applyBorder="1"/>
    <xf numFmtId="0" fontId="2" fillId="3" borderId="9" xfId="2" applyBorder="1"/>
    <xf numFmtId="0" fontId="1" fillId="2" borderId="19" xfId="1" applyBorder="1"/>
    <xf numFmtId="0" fontId="4" fillId="5" borderId="20" xfId="4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textRotation="90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</cellXfs>
  <cellStyles count="5">
    <cellStyle name="Dane wejściowe" xfId="3" builtinId="20"/>
    <cellStyle name="Dobry" xfId="1" builtinId="26"/>
    <cellStyle name="Komórka zaznaczona" xfId="4" builtinId="23"/>
    <cellStyle name="Neutralny" xfId="2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742-D441-4FFB-89F0-A5D4498946AF}">
  <dimension ref="A1:M260"/>
  <sheetViews>
    <sheetView tabSelected="1" zoomScale="130" zoomScaleNormal="130" workbookViewId="0">
      <selection activeCell="I4" sqref="I4:J163"/>
    </sheetView>
  </sheetViews>
  <sheetFormatPr defaultRowHeight="15" x14ac:dyDescent="0.25"/>
  <cols>
    <col min="1" max="1" width="9.85546875" bestFit="1" customWidth="1"/>
    <col min="2" max="2" width="77.5703125" customWidth="1"/>
    <col min="3" max="3" width="24.7109375" customWidth="1"/>
    <col min="4" max="4" width="11.7109375" customWidth="1"/>
    <col min="5" max="5" width="22.5703125" customWidth="1"/>
    <col min="6" max="6" width="12.28515625" customWidth="1"/>
    <col min="7" max="7" width="21.42578125" customWidth="1"/>
  </cols>
  <sheetData>
    <row r="1" spans="1:13" ht="15.75" thickBot="1" x14ac:dyDescent="0.3">
      <c r="A1" s="1"/>
      <c r="B1" s="2">
        <f>PI()/2-(A4+ASIN(A6*SIN(A4)/A8))</f>
        <v>2.8566562920418002</v>
      </c>
      <c r="C1" s="3"/>
      <c r="H1" s="30" t="s">
        <v>10</v>
      </c>
      <c r="I1" s="30"/>
      <c r="K1" t="s">
        <v>43</v>
      </c>
      <c r="L1">
        <v>127</v>
      </c>
      <c r="M1" t="s">
        <v>45</v>
      </c>
    </row>
    <row r="2" spans="1:13" ht="16.5" thickTop="1" thickBot="1" x14ac:dyDescent="0.3">
      <c r="A2" s="4"/>
      <c r="B2" s="5">
        <f>DEGREES(B1)</f>
        <v>163.67434905348628</v>
      </c>
      <c r="C2" s="6"/>
      <c r="G2" s="12" t="s">
        <v>23</v>
      </c>
      <c r="H2" s="14">
        <v>160</v>
      </c>
      <c r="I2">
        <f>2*PI()/H2</f>
        <v>3.9269908169872414E-2</v>
      </c>
      <c r="K2" t="s">
        <v>44</v>
      </c>
      <c r="L2">
        <v>32</v>
      </c>
      <c r="M2" t="s">
        <v>46</v>
      </c>
    </row>
    <row r="3" spans="1:13" ht="15.75" thickTop="1" x14ac:dyDescent="0.25">
      <c r="A3" s="4" t="s">
        <v>0</v>
      </c>
      <c r="B3" s="5">
        <f>PI()-B1</f>
        <v>0.28493636154799296</v>
      </c>
      <c r="C3" s="6"/>
      <c r="H3" s="15" t="s">
        <v>8</v>
      </c>
      <c r="I3" s="16" t="s">
        <v>9</v>
      </c>
    </row>
    <row r="4" spans="1:13" x14ac:dyDescent="0.25">
      <c r="A4" s="4">
        <f>RADIANS(-39.92)</f>
        <v>-0.69673543739613641</v>
      </c>
      <c r="B4" s="5"/>
      <c r="C4" s="6"/>
      <c r="H4" s="17">
        <f>I2</f>
        <v>3.9269908169872414E-2</v>
      </c>
      <c r="I4" s="18">
        <f>ROUND(SIN(H4)*$L$2+$L$1,0)</f>
        <v>128</v>
      </c>
      <c r="J4" t="s">
        <v>6</v>
      </c>
    </row>
    <row r="5" spans="1:13" x14ac:dyDescent="0.25">
      <c r="A5" s="4" t="s">
        <v>1</v>
      </c>
      <c r="B5" s="5"/>
      <c r="C5" s="6" t="s">
        <v>3</v>
      </c>
      <c r="H5" s="17">
        <f>H4+$I$2</f>
        <v>7.8539816339744828E-2</v>
      </c>
      <c r="I5" s="18">
        <f t="shared" ref="I5:I68" si="0">ROUND(SIN(H5)*$L$2+$L$1,0)</f>
        <v>130</v>
      </c>
      <c r="J5" t="s">
        <v>6</v>
      </c>
    </row>
    <row r="6" spans="1:13" x14ac:dyDescent="0.25">
      <c r="A6" s="4">
        <v>0.99399999999999999</v>
      </c>
      <c r="B6" s="5"/>
      <c r="C6" s="6">
        <f>0.994*COS(B3)</f>
        <v>0.95392146588028093</v>
      </c>
      <c r="D6" s="40" t="s">
        <v>42</v>
      </c>
      <c r="E6" s="41"/>
      <c r="F6" s="41"/>
      <c r="G6" s="42"/>
      <c r="H6" s="17">
        <f t="shared" ref="H6:H69" si="1">H5+$I$2</f>
        <v>0.11780972450961724</v>
      </c>
      <c r="I6" s="18">
        <f t="shared" si="0"/>
        <v>131</v>
      </c>
      <c r="J6" t="s">
        <v>6</v>
      </c>
    </row>
    <row r="7" spans="1:13" x14ac:dyDescent="0.25">
      <c r="A7" s="4" t="s">
        <v>2</v>
      </c>
      <c r="B7" s="5"/>
      <c r="C7" s="5"/>
      <c r="D7" s="33" t="s">
        <v>12</v>
      </c>
      <c r="E7" s="33"/>
      <c r="F7" s="33"/>
      <c r="G7" s="34"/>
      <c r="H7" s="17">
        <f t="shared" si="1"/>
        <v>0.15707963267948966</v>
      </c>
      <c r="I7" s="18">
        <f t="shared" si="0"/>
        <v>132</v>
      </c>
      <c r="J7" t="s">
        <v>6</v>
      </c>
    </row>
    <row r="8" spans="1:13" x14ac:dyDescent="0.25">
      <c r="A8" s="4">
        <v>1.1479999999999999</v>
      </c>
      <c r="B8" s="5"/>
      <c r="C8" s="5"/>
      <c r="D8" s="33"/>
      <c r="E8" s="33"/>
      <c r="F8" s="33"/>
      <c r="G8" s="34"/>
      <c r="H8" s="17">
        <f t="shared" si="1"/>
        <v>0.19634954084936207</v>
      </c>
      <c r="I8" s="18">
        <f t="shared" si="0"/>
        <v>133</v>
      </c>
      <c r="J8" t="s">
        <v>6</v>
      </c>
    </row>
    <row r="9" spans="1:13" ht="15.75" thickBot="1" x14ac:dyDescent="0.3">
      <c r="A9" s="4"/>
      <c r="B9" s="5"/>
      <c r="C9" s="5"/>
      <c r="D9" s="31" t="s">
        <v>7</v>
      </c>
      <c r="E9" s="31"/>
      <c r="F9" s="31"/>
      <c r="G9" s="32"/>
      <c r="H9" s="17">
        <f t="shared" si="1"/>
        <v>0.23561944901923448</v>
      </c>
      <c r="I9" s="18">
        <f t="shared" si="0"/>
        <v>134</v>
      </c>
      <c r="J9" t="s">
        <v>6</v>
      </c>
    </row>
    <row r="10" spans="1:13" ht="16.5" thickTop="1" thickBot="1" x14ac:dyDescent="0.3">
      <c r="A10" s="4"/>
      <c r="B10" s="5"/>
      <c r="C10" s="5"/>
      <c r="D10" s="11" t="s">
        <v>20</v>
      </c>
      <c r="E10" s="11" t="s">
        <v>21</v>
      </c>
      <c r="F10" s="26"/>
      <c r="G10" s="13" t="s">
        <v>22</v>
      </c>
      <c r="H10" s="17">
        <f t="shared" si="1"/>
        <v>0.2748893571891069</v>
      </c>
      <c r="I10" s="18">
        <f t="shared" si="0"/>
        <v>136</v>
      </c>
      <c r="J10" t="s">
        <v>6</v>
      </c>
    </row>
    <row r="11" spans="1:13" ht="16.5" thickTop="1" thickBot="1" x14ac:dyDescent="0.3">
      <c r="A11" s="4" t="s">
        <v>0</v>
      </c>
      <c r="B11" s="5"/>
      <c r="C11" s="5"/>
      <c r="D11" s="11">
        <v>1.5</v>
      </c>
      <c r="E11" s="11">
        <f>1/12000000*(D11+12.5)</f>
        <v>1.1666666666666668E-6</v>
      </c>
      <c r="F11" s="26"/>
      <c r="G11" s="13">
        <f>E11*1000000</f>
        <v>1.1666666666666667</v>
      </c>
      <c r="H11" s="17">
        <f t="shared" si="1"/>
        <v>0.31415926535897931</v>
      </c>
      <c r="I11" s="18">
        <f t="shared" si="0"/>
        <v>137</v>
      </c>
      <c r="J11" t="s">
        <v>6</v>
      </c>
    </row>
    <row r="12" spans="1:13" ht="16.5" thickTop="1" thickBot="1" x14ac:dyDescent="0.3">
      <c r="A12" s="4">
        <f>RADIANS(33.18)</f>
        <v>0.57910024581171848</v>
      </c>
      <c r="B12" s="5"/>
      <c r="C12" s="5"/>
      <c r="D12" s="11">
        <v>7.5</v>
      </c>
      <c r="E12" s="11">
        <f>1/12000000*(D12+12.5)</f>
        <v>1.6666666666666667E-6</v>
      </c>
      <c r="F12" s="26"/>
      <c r="G12" s="13">
        <f t="shared" ref="G12:G18" si="2">E12*1000000</f>
        <v>1.6666666666666667</v>
      </c>
      <c r="H12" s="17">
        <f t="shared" si="1"/>
        <v>0.35342917352885173</v>
      </c>
      <c r="I12" s="18">
        <f t="shared" si="0"/>
        <v>138</v>
      </c>
      <c r="J12" t="s">
        <v>6</v>
      </c>
    </row>
    <row r="13" spans="1:13" ht="16.5" thickTop="1" thickBot="1" x14ac:dyDescent="0.3">
      <c r="A13" s="4" t="s">
        <v>1</v>
      </c>
      <c r="B13" s="5" t="s">
        <v>4</v>
      </c>
      <c r="C13" s="5"/>
      <c r="D13" s="11">
        <v>13.5</v>
      </c>
      <c r="E13" s="11">
        <f t="shared" ref="E13:E18" si="3">1/12000000*(D13+12.5)</f>
        <v>2.166666666666667E-6</v>
      </c>
      <c r="F13" s="26"/>
      <c r="G13" s="13">
        <f t="shared" si="2"/>
        <v>2.166666666666667</v>
      </c>
      <c r="H13" s="17">
        <f t="shared" si="1"/>
        <v>0.39269908169872414</v>
      </c>
      <c r="I13" s="18">
        <f t="shared" si="0"/>
        <v>139</v>
      </c>
      <c r="J13" t="s">
        <v>6</v>
      </c>
    </row>
    <row r="14" spans="1:13" ht="16.5" thickTop="1" thickBot="1" x14ac:dyDescent="0.3">
      <c r="A14" s="4">
        <v>0.29099999999999998</v>
      </c>
      <c r="B14" s="5">
        <f>PI()/2-(A12+ACOS((A18-A14*COS(A12))/A16))</f>
        <v>0.25110222169560625</v>
      </c>
      <c r="C14" s="5"/>
      <c r="D14" s="11">
        <v>28.5</v>
      </c>
      <c r="E14" s="11">
        <f t="shared" si="3"/>
        <v>3.4166666666666668E-6</v>
      </c>
      <c r="F14" s="26"/>
      <c r="G14" s="13">
        <f t="shared" si="2"/>
        <v>3.416666666666667</v>
      </c>
      <c r="H14" s="17">
        <f t="shared" si="1"/>
        <v>0.43196898986859655</v>
      </c>
      <c r="I14" s="18">
        <f t="shared" si="0"/>
        <v>140</v>
      </c>
      <c r="J14" t="s">
        <v>6</v>
      </c>
    </row>
    <row r="15" spans="1:13" ht="16.5" thickTop="1" thickBot="1" x14ac:dyDescent="0.3">
      <c r="A15" s="4" t="s">
        <v>2</v>
      </c>
      <c r="B15" s="5">
        <f>DEGREES(B14)</f>
        <v>14.387097529516572</v>
      </c>
      <c r="C15" s="5"/>
      <c r="D15" s="11">
        <v>41.5</v>
      </c>
      <c r="E15" s="11">
        <f t="shared" si="3"/>
        <v>4.5000000000000001E-6</v>
      </c>
      <c r="F15" s="26"/>
      <c r="G15" s="13">
        <f t="shared" si="2"/>
        <v>4.5</v>
      </c>
      <c r="H15" s="17">
        <f t="shared" si="1"/>
        <v>0.47123889803846897</v>
      </c>
      <c r="I15" s="18">
        <f t="shared" si="0"/>
        <v>142</v>
      </c>
      <c r="J15" t="s">
        <v>6</v>
      </c>
    </row>
    <row r="16" spans="1:13" ht="16.5" thickTop="1" thickBot="1" x14ac:dyDescent="0.3">
      <c r="A16" s="4">
        <v>0.23499999999999999</v>
      </c>
      <c r="B16" s="5">
        <f>PI()-B14</f>
        <v>2.8904904318941869</v>
      </c>
      <c r="C16" s="5"/>
      <c r="D16" s="11">
        <v>55.5</v>
      </c>
      <c r="E16" s="11">
        <f t="shared" si="3"/>
        <v>5.6666666666666669E-6</v>
      </c>
      <c r="F16" s="26"/>
      <c r="G16" s="13">
        <f t="shared" si="2"/>
        <v>5.666666666666667</v>
      </c>
      <c r="H16" s="17">
        <f t="shared" si="1"/>
        <v>0.51050880620834138</v>
      </c>
      <c r="I16" s="18">
        <f t="shared" si="0"/>
        <v>143</v>
      </c>
      <c r="J16" t="s">
        <v>6</v>
      </c>
    </row>
    <row r="17" spans="1:10" ht="16.5" thickTop="1" thickBot="1" x14ac:dyDescent="0.3">
      <c r="A17" s="4" t="s">
        <v>5</v>
      </c>
      <c r="B17" s="5"/>
      <c r="C17" s="5"/>
      <c r="D17" s="11">
        <v>71.5</v>
      </c>
      <c r="E17" s="11">
        <f>1/12000000*(D17+12.5)</f>
        <v>7.0000000000000007E-6</v>
      </c>
      <c r="F17" s="26"/>
      <c r="G17" s="13">
        <f t="shared" si="2"/>
        <v>7.0000000000000009</v>
      </c>
      <c r="H17" s="17">
        <f t="shared" si="1"/>
        <v>0.5497787143782138</v>
      </c>
      <c r="I17" s="18">
        <f t="shared" si="0"/>
        <v>144</v>
      </c>
      <c r="J17" t="s">
        <v>6</v>
      </c>
    </row>
    <row r="18" spans="1:10" ht="16.5" thickTop="1" thickBot="1" x14ac:dyDescent="0.3">
      <c r="A18" s="4">
        <v>0.41699999999999998</v>
      </c>
      <c r="B18" s="5"/>
      <c r="C18" s="5"/>
      <c r="D18" s="11">
        <v>239.5</v>
      </c>
      <c r="E18" s="11">
        <f t="shared" si="3"/>
        <v>2.1000000000000002E-5</v>
      </c>
      <c r="F18" s="26"/>
      <c r="G18" s="13">
        <f t="shared" si="2"/>
        <v>21.000000000000004</v>
      </c>
      <c r="H18" s="17">
        <f t="shared" si="1"/>
        <v>0.58904862254808621</v>
      </c>
      <c r="I18" s="18">
        <f t="shared" si="0"/>
        <v>145</v>
      </c>
      <c r="J18" t="s">
        <v>6</v>
      </c>
    </row>
    <row r="19" spans="1:10" ht="15.75" thickTop="1" x14ac:dyDescent="0.25">
      <c r="A19" s="7"/>
      <c r="B19" s="8"/>
      <c r="C19" s="8"/>
      <c r="D19" s="31" t="s">
        <v>11</v>
      </c>
      <c r="E19" s="31"/>
      <c r="F19" s="31"/>
      <c r="G19" s="32"/>
      <c r="H19" s="17">
        <f t="shared" si="1"/>
        <v>0.62831853071795862</v>
      </c>
      <c r="I19" s="18">
        <f t="shared" si="0"/>
        <v>146</v>
      </c>
      <c r="J19" t="s">
        <v>6</v>
      </c>
    </row>
    <row r="20" spans="1:10" x14ac:dyDescent="0.25">
      <c r="D20" s="11"/>
      <c r="E20" s="11"/>
      <c r="F20" s="11"/>
      <c r="G20" s="13"/>
      <c r="H20" s="17">
        <f t="shared" si="1"/>
        <v>0.66758843888783104</v>
      </c>
      <c r="I20" s="18">
        <f t="shared" si="0"/>
        <v>147</v>
      </c>
      <c r="J20" t="s">
        <v>6</v>
      </c>
    </row>
    <row r="21" spans="1:10" x14ac:dyDescent="0.25">
      <c r="B21" t="s">
        <v>13</v>
      </c>
      <c r="D21" s="11">
        <v>1.5</v>
      </c>
      <c r="E21" s="11">
        <f t="shared" ref="E21:E28" si="4">1/9000000*(D21+12.5)</f>
        <v>1.5555555555555556E-6</v>
      </c>
      <c r="F21" s="11"/>
      <c r="G21" s="13">
        <f>E21*1000000</f>
        <v>1.5555555555555556</v>
      </c>
      <c r="H21" s="17">
        <f t="shared" si="1"/>
        <v>0.70685834705770345</v>
      </c>
      <c r="I21" s="18">
        <f t="shared" si="0"/>
        <v>148</v>
      </c>
      <c r="J21" t="s">
        <v>6</v>
      </c>
    </row>
    <row r="22" spans="1:10" x14ac:dyDescent="0.25">
      <c r="B22" t="s">
        <v>17</v>
      </c>
      <c r="D22" s="11">
        <v>7.5</v>
      </c>
      <c r="E22" s="11">
        <f t="shared" si="4"/>
        <v>2.2222222222222221E-6</v>
      </c>
      <c r="F22" s="11"/>
      <c r="G22" s="13">
        <f t="shared" ref="G22:G28" si="5">E22*1000000</f>
        <v>2.2222222222222219</v>
      </c>
      <c r="H22" s="17">
        <f t="shared" si="1"/>
        <v>0.74612825522757587</v>
      </c>
      <c r="I22" s="18">
        <f t="shared" si="0"/>
        <v>149</v>
      </c>
      <c r="J22" t="s">
        <v>6</v>
      </c>
    </row>
    <row r="23" spans="1:10" x14ac:dyDescent="0.25">
      <c r="B23" t="s">
        <v>18</v>
      </c>
      <c r="D23" s="11">
        <v>13.5</v>
      </c>
      <c r="E23" s="11">
        <f t="shared" si="4"/>
        <v>2.888888888888889E-6</v>
      </c>
      <c r="F23" s="11"/>
      <c r="G23" s="13">
        <f t="shared" si="5"/>
        <v>2.8888888888888888</v>
      </c>
      <c r="H23" s="17">
        <f t="shared" si="1"/>
        <v>0.78539816339744828</v>
      </c>
      <c r="I23" s="18">
        <f t="shared" si="0"/>
        <v>150</v>
      </c>
      <c r="J23" t="s">
        <v>6</v>
      </c>
    </row>
    <row r="24" spans="1:10" x14ac:dyDescent="0.25">
      <c r="B24" s="9">
        <f>A41*A28*2*PI()</f>
        <v>5.5920349233898321</v>
      </c>
      <c r="D24" s="11">
        <v>28.5</v>
      </c>
      <c r="E24" s="11">
        <f t="shared" si="4"/>
        <v>4.5555555555555552E-6</v>
      </c>
      <c r="F24" s="11"/>
      <c r="G24" s="13">
        <f t="shared" si="5"/>
        <v>4.5555555555555554</v>
      </c>
      <c r="H24" s="17">
        <f t="shared" si="1"/>
        <v>0.82466807156732069</v>
      </c>
      <c r="I24" s="18">
        <f t="shared" si="0"/>
        <v>150</v>
      </c>
      <c r="J24" t="s">
        <v>6</v>
      </c>
    </row>
    <row r="25" spans="1:10" x14ac:dyDescent="0.25">
      <c r="A25" t="s">
        <v>14</v>
      </c>
      <c r="B25" t="s">
        <v>19</v>
      </c>
      <c r="D25" s="11">
        <v>41.5</v>
      </c>
      <c r="E25" s="11">
        <f t="shared" si="4"/>
        <v>6.0000000000000002E-6</v>
      </c>
      <c r="F25" s="11"/>
      <c r="G25" s="13">
        <f t="shared" si="5"/>
        <v>6</v>
      </c>
      <c r="H25" s="17">
        <f t="shared" si="1"/>
        <v>0.86393797973719311</v>
      </c>
      <c r="I25" s="18">
        <f t="shared" si="0"/>
        <v>151</v>
      </c>
      <c r="J25" t="s">
        <v>6</v>
      </c>
    </row>
    <row r="26" spans="1:10" x14ac:dyDescent="0.25">
      <c r="A26">
        <v>150</v>
      </c>
      <c r="B26" s="9">
        <f>2/B24</f>
        <v>0.35765155750987715</v>
      </c>
      <c r="D26" s="11">
        <v>55.5</v>
      </c>
      <c r="E26" s="11">
        <f t="shared" si="4"/>
        <v>7.5555555555555553E-6</v>
      </c>
      <c r="F26" s="11"/>
      <c r="G26" s="13">
        <f t="shared" si="5"/>
        <v>7.5555555555555554</v>
      </c>
      <c r="H26" s="17">
        <f t="shared" si="1"/>
        <v>0.90320788790706552</v>
      </c>
      <c r="I26" s="18">
        <f t="shared" si="0"/>
        <v>152</v>
      </c>
      <c r="J26" t="s">
        <v>6</v>
      </c>
    </row>
    <row r="27" spans="1:10" x14ac:dyDescent="0.25">
      <c r="A27" t="s">
        <v>16</v>
      </c>
      <c r="D27" s="11">
        <v>71.5</v>
      </c>
      <c r="E27" s="11">
        <f t="shared" si="4"/>
        <v>9.3333333333333326E-6</v>
      </c>
      <c r="F27" s="11"/>
      <c r="G27" s="13">
        <f t="shared" si="5"/>
        <v>9.3333333333333321</v>
      </c>
      <c r="H27" s="17">
        <f t="shared" si="1"/>
        <v>0.94247779607693793</v>
      </c>
      <c r="I27" s="18">
        <f t="shared" si="0"/>
        <v>153</v>
      </c>
      <c r="J27" t="s">
        <v>6</v>
      </c>
    </row>
    <row r="28" spans="1:10" x14ac:dyDescent="0.25">
      <c r="A28">
        <v>89000</v>
      </c>
      <c r="D28" s="11">
        <v>239.5</v>
      </c>
      <c r="E28" s="11">
        <f t="shared" si="4"/>
        <v>2.8E-5</v>
      </c>
      <c r="F28" s="11"/>
      <c r="G28" s="13">
        <f t="shared" si="5"/>
        <v>28</v>
      </c>
      <c r="H28" s="17">
        <f t="shared" si="1"/>
        <v>0.98174770424681035</v>
      </c>
      <c r="I28" s="18">
        <f t="shared" si="0"/>
        <v>154</v>
      </c>
      <c r="J28" t="s">
        <v>6</v>
      </c>
    </row>
    <row r="29" spans="1:10" ht="15.75" thickBot="1" x14ac:dyDescent="0.3">
      <c r="H29" s="17">
        <f t="shared" si="1"/>
        <v>1.0210176124166828</v>
      </c>
      <c r="I29" s="18">
        <f t="shared" si="0"/>
        <v>154</v>
      </c>
      <c r="J29" t="s">
        <v>6</v>
      </c>
    </row>
    <row r="30" spans="1:10" ht="16.5" thickTop="1" thickBot="1" x14ac:dyDescent="0.3">
      <c r="B30" t="s">
        <v>29</v>
      </c>
      <c r="C30">
        <v>89</v>
      </c>
      <c r="D30" s="29" t="s">
        <v>31</v>
      </c>
      <c r="E30" s="29"/>
      <c r="F30" s="29"/>
      <c r="G30" s="29"/>
      <c r="H30" s="5">
        <f t="shared" si="1"/>
        <v>1.0602875205865552</v>
      </c>
      <c r="I30" s="18">
        <f t="shared" si="0"/>
        <v>155</v>
      </c>
      <c r="J30" t="s">
        <v>6</v>
      </c>
    </row>
    <row r="31" spans="1:10" ht="16.5" thickTop="1" thickBot="1" x14ac:dyDescent="0.3">
      <c r="C31" t="s">
        <v>37</v>
      </c>
      <c r="D31" s="29">
        <v>89</v>
      </c>
      <c r="E31" s="29"/>
      <c r="F31" s="29">
        <v>500</v>
      </c>
      <c r="G31" s="29"/>
      <c r="H31" s="5">
        <f t="shared" si="1"/>
        <v>1.0995574287564276</v>
      </c>
      <c r="I31" s="18">
        <f t="shared" si="0"/>
        <v>156</v>
      </c>
      <c r="J31" t="s">
        <v>6</v>
      </c>
    </row>
    <row r="32" spans="1:10" ht="16.5" thickTop="1" thickBot="1" x14ac:dyDescent="0.3">
      <c r="D32" s="21" t="s">
        <v>28</v>
      </c>
      <c r="E32" s="21" t="s">
        <v>30</v>
      </c>
      <c r="F32" s="21"/>
      <c r="G32" s="21"/>
      <c r="H32" s="5">
        <f t="shared" si="1"/>
        <v>1.1388273369263</v>
      </c>
      <c r="I32" s="18">
        <f t="shared" si="0"/>
        <v>156</v>
      </c>
      <c r="J32" t="s">
        <v>6</v>
      </c>
    </row>
    <row r="33" spans="1:10" ht="16.5" thickTop="1" thickBot="1" x14ac:dyDescent="0.3">
      <c r="D33" s="21">
        <f>G11*$C$30*360/1000000</f>
        <v>3.7379999999999997E-2</v>
      </c>
      <c r="E33" s="25">
        <f>D33*5</f>
        <v>0.18689999999999998</v>
      </c>
      <c r="F33" s="21">
        <f>G11*$F$31*360/1000000</f>
        <v>0.21</v>
      </c>
      <c r="G33" s="25">
        <f>F33*5</f>
        <v>1.05</v>
      </c>
      <c r="H33" s="5">
        <f t="shared" si="1"/>
        <v>1.1780972450961724</v>
      </c>
      <c r="I33" s="18">
        <f t="shared" si="0"/>
        <v>157</v>
      </c>
      <c r="J33" t="s">
        <v>6</v>
      </c>
    </row>
    <row r="34" spans="1:10" ht="16.5" thickTop="1" thickBot="1" x14ac:dyDescent="0.3">
      <c r="D34" s="21">
        <f t="shared" ref="D34:D40" si="6">G12*$C$30*360/1000000</f>
        <v>5.3400000000000003E-2</v>
      </c>
      <c r="E34" s="25">
        <f t="shared" ref="E34:E40" si="7">D34*5</f>
        <v>0.26700000000000002</v>
      </c>
      <c r="F34" s="21">
        <f t="shared" ref="F34:F40" si="8">G12*$F$31*360/1000000</f>
        <v>0.3</v>
      </c>
      <c r="G34" s="21">
        <f t="shared" ref="G34:G40" si="9">F34*5</f>
        <v>1.5</v>
      </c>
      <c r="H34" s="5">
        <f t="shared" si="1"/>
        <v>1.2173671532660448</v>
      </c>
      <c r="I34" s="18">
        <f t="shared" si="0"/>
        <v>157</v>
      </c>
      <c r="J34" t="s">
        <v>6</v>
      </c>
    </row>
    <row r="35" spans="1:10" ht="16.5" thickTop="1" thickBot="1" x14ac:dyDescent="0.3">
      <c r="D35" s="21">
        <f t="shared" si="6"/>
        <v>6.9420000000000009E-2</v>
      </c>
      <c r="E35" s="25">
        <f t="shared" si="7"/>
        <v>0.34710000000000008</v>
      </c>
      <c r="F35" s="21">
        <f t="shared" si="8"/>
        <v>0.39000000000000007</v>
      </c>
      <c r="G35" s="21">
        <f t="shared" si="9"/>
        <v>1.9500000000000004</v>
      </c>
      <c r="H35" s="5">
        <f t="shared" si="1"/>
        <v>1.2566370614359172</v>
      </c>
      <c r="I35" s="18">
        <f t="shared" si="0"/>
        <v>157</v>
      </c>
      <c r="J35" t="s">
        <v>6</v>
      </c>
    </row>
    <row r="36" spans="1:10" ht="16.5" thickTop="1" thickBot="1" x14ac:dyDescent="0.3">
      <c r="D36" s="21">
        <f t="shared" si="6"/>
        <v>0.10947000000000001</v>
      </c>
      <c r="E36" s="25">
        <f t="shared" si="7"/>
        <v>0.54735</v>
      </c>
      <c r="F36" s="21">
        <f t="shared" si="8"/>
        <v>0.61499999999999999</v>
      </c>
      <c r="G36" s="21">
        <f t="shared" si="9"/>
        <v>3.0750000000000002</v>
      </c>
      <c r="H36" s="5">
        <f t="shared" si="1"/>
        <v>1.2959069696057897</v>
      </c>
      <c r="I36" s="18">
        <f t="shared" si="0"/>
        <v>158</v>
      </c>
      <c r="J36" t="s">
        <v>6</v>
      </c>
    </row>
    <row r="37" spans="1:10" ht="16.5" thickTop="1" thickBot="1" x14ac:dyDescent="0.3">
      <c r="D37" s="21">
        <f t="shared" si="6"/>
        <v>0.14418</v>
      </c>
      <c r="E37" s="25">
        <f t="shared" si="7"/>
        <v>0.72089999999999999</v>
      </c>
      <c r="F37" s="21">
        <f t="shared" si="8"/>
        <v>0.81</v>
      </c>
      <c r="G37" s="21">
        <f t="shared" si="9"/>
        <v>4.0500000000000007</v>
      </c>
      <c r="H37" s="5">
        <f t="shared" si="1"/>
        <v>1.3351768777756621</v>
      </c>
      <c r="I37" s="18">
        <f t="shared" si="0"/>
        <v>158</v>
      </c>
      <c r="J37" t="s">
        <v>6</v>
      </c>
    </row>
    <row r="38" spans="1:10" ht="16.5" thickTop="1" thickBot="1" x14ac:dyDescent="0.3">
      <c r="D38" s="21">
        <f t="shared" si="6"/>
        <v>0.18156</v>
      </c>
      <c r="E38" s="25">
        <f t="shared" si="7"/>
        <v>0.90779999999999994</v>
      </c>
      <c r="F38" s="21">
        <f t="shared" si="8"/>
        <v>1.02</v>
      </c>
      <c r="G38" s="21">
        <f t="shared" si="9"/>
        <v>5.0999999999999996</v>
      </c>
      <c r="H38" s="5">
        <f t="shared" si="1"/>
        <v>1.3744467859455345</v>
      </c>
      <c r="I38" s="18">
        <f t="shared" si="0"/>
        <v>158</v>
      </c>
      <c r="J38" t="s">
        <v>6</v>
      </c>
    </row>
    <row r="39" spans="1:10" ht="16.5" thickTop="1" thickBot="1" x14ac:dyDescent="0.3">
      <c r="D39" s="21">
        <f t="shared" si="6"/>
        <v>0.22428000000000003</v>
      </c>
      <c r="E39" s="25">
        <f t="shared" si="7"/>
        <v>1.1214000000000002</v>
      </c>
      <c r="F39" s="21">
        <f t="shared" si="8"/>
        <v>1.2600000000000002</v>
      </c>
      <c r="G39" s="21">
        <f t="shared" si="9"/>
        <v>6.3000000000000007</v>
      </c>
      <c r="H39" s="5">
        <f t="shared" si="1"/>
        <v>1.4137166941154069</v>
      </c>
      <c r="I39" s="18">
        <f t="shared" si="0"/>
        <v>159</v>
      </c>
      <c r="J39" t="s">
        <v>6</v>
      </c>
    </row>
    <row r="40" spans="1:10" ht="16.5" thickTop="1" thickBot="1" x14ac:dyDescent="0.3">
      <c r="A40" t="s">
        <v>15</v>
      </c>
      <c r="D40" s="21">
        <f t="shared" si="6"/>
        <v>0.6728400000000001</v>
      </c>
      <c r="E40" s="22">
        <f t="shared" si="7"/>
        <v>3.3642000000000003</v>
      </c>
      <c r="F40" s="21">
        <f t="shared" si="8"/>
        <v>3.7800000000000002</v>
      </c>
      <c r="G40" s="21">
        <f t="shared" si="9"/>
        <v>18.900000000000002</v>
      </c>
      <c r="H40" s="5">
        <f t="shared" si="1"/>
        <v>1.4529866022852793</v>
      </c>
      <c r="I40" s="18">
        <f t="shared" si="0"/>
        <v>159</v>
      </c>
      <c r="J40" t="s">
        <v>6</v>
      </c>
    </row>
    <row r="41" spans="1:10" ht="15.75" thickTop="1" x14ac:dyDescent="0.25">
      <c r="A41" s="9">
        <v>1.0000000000000001E-5</v>
      </c>
      <c r="C41">
        <v>5000</v>
      </c>
      <c r="E41" t="s">
        <v>39</v>
      </c>
      <c r="F41" s="27" t="s">
        <v>38</v>
      </c>
      <c r="G41" s="28"/>
      <c r="H41" s="17">
        <f t="shared" si="1"/>
        <v>1.4922565104551517</v>
      </c>
      <c r="I41" s="18">
        <f t="shared" si="0"/>
        <v>159</v>
      </c>
      <c r="J41" t="s">
        <v>6</v>
      </c>
    </row>
    <row r="42" spans="1:10" x14ac:dyDescent="0.25">
      <c r="E42">
        <v>15</v>
      </c>
      <c r="F42">
        <f>E44*C41*360/1000000</f>
        <v>0.45</v>
      </c>
      <c r="G42" t="s">
        <v>41</v>
      </c>
      <c r="H42" s="17">
        <f t="shared" si="1"/>
        <v>1.5315264186250241</v>
      </c>
      <c r="I42" s="18">
        <f t="shared" si="0"/>
        <v>159</v>
      </c>
      <c r="J42" t="s">
        <v>6</v>
      </c>
    </row>
    <row r="43" spans="1:10" x14ac:dyDescent="0.25">
      <c r="E43" t="s">
        <v>22</v>
      </c>
      <c r="G43">
        <f>F42*5</f>
        <v>2.25</v>
      </c>
      <c r="H43" s="17">
        <f t="shared" si="1"/>
        <v>1.5707963267948966</v>
      </c>
      <c r="I43" s="18">
        <f t="shared" si="0"/>
        <v>159</v>
      </c>
      <c r="J43" t="s">
        <v>6</v>
      </c>
    </row>
    <row r="44" spans="1:10" x14ac:dyDescent="0.25">
      <c r="D44" t="s">
        <v>40</v>
      </c>
      <c r="E44">
        <f>1/60*(E42)</f>
        <v>0.25</v>
      </c>
      <c r="H44" s="17">
        <f t="shared" si="1"/>
        <v>1.610066234964769</v>
      </c>
      <c r="I44" s="18">
        <f t="shared" si="0"/>
        <v>159</v>
      </c>
      <c r="J44" t="s">
        <v>6</v>
      </c>
    </row>
    <row r="45" spans="1:10" x14ac:dyDescent="0.25">
      <c r="H45" s="17">
        <f t="shared" si="1"/>
        <v>1.6493361431346414</v>
      </c>
      <c r="I45" s="18">
        <f t="shared" si="0"/>
        <v>159</v>
      </c>
      <c r="J45" t="s">
        <v>6</v>
      </c>
    </row>
    <row r="46" spans="1:10" x14ac:dyDescent="0.25">
      <c r="H46" s="17">
        <f t="shared" si="1"/>
        <v>1.6886060513045138</v>
      </c>
      <c r="I46" s="18">
        <f t="shared" si="0"/>
        <v>159</v>
      </c>
      <c r="J46" t="s">
        <v>6</v>
      </c>
    </row>
    <row r="47" spans="1:10" x14ac:dyDescent="0.25">
      <c r="H47" s="17">
        <f t="shared" si="1"/>
        <v>1.7278759594743862</v>
      </c>
      <c r="I47" s="18">
        <f t="shared" si="0"/>
        <v>159</v>
      </c>
      <c r="J47" t="s">
        <v>6</v>
      </c>
    </row>
    <row r="48" spans="1:10" x14ac:dyDescent="0.25">
      <c r="H48" s="17">
        <f t="shared" si="1"/>
        <v>1.7671458676442586</v>
      </c>
      <c r="I48" s="18">
        <f t="shared" si="0"/>
        <v>158</v>
      </c>
      <c r="J48" t="s">
        <v>6</v>
      </c>
    </row>
    <row r="49" spans="8:10" x14ac:dyDescent="0.25">
      <c r="H49" s="17">
        <f t="shared" si="1"/>
        <v>1.806415775814131</v>
      </c>
      <c r="I49" s="18">
        <f t="shared" si="0"/>
        <v>158</v>
      </c>
      <c r="J49" t="s">
        <v>6</v>
      </c>
    </row>
    <row r="50" spans="8:10" x14ac:dyDescent="0.25">
      <c r="H50" s="17">
        <f t="shared" si="1"/>
        <v>1.8456856839840035</v>
      </c>
      <c r="I50" s="18">
        <f t="shared" si="0"/>
        <v>158</v>
      </c>
      <c r="J50" t="s">
        <v>6</v>
      </c>
    </row>
    <row r="51" spans="8:10" x14ac:dyDescent="0.25">
      <c r="H51" s="17">
        <f t="shared" si="1"/>
        <v>1.8849555921538759</v>
      </c>
      <c r="I51" s="18">
        <f t="shared" si="0"/>
        <v>157</v>
      </c>
      <c r="J51" t="s">
        <v>6</v>
      </c>
    </row>
    <row r="52" spans="8:10" x14ac:dyDescent="0.25">
      <c r="H52" s="17">
        <f t="shared" si="1"/>
        <v>1.9242255003237483</v>
      </c>
      <c r="I52" s="18">
        <f t="shared" si="0"/>
        <v>157</v>
      </c>
      <c r="J52" t="s">
        <v>6</v>
      </c>
    </row>
    <row r="53" spans="8:10" x14ac:dyDescent="0.25">
      <c r="H53" s="17">
        <f t="shared" si="1"/>
        <v>1.9634954084936207</v>
      </c>
      <c r="I53" s="18">
        <f t="shared" si="0"/>
        <v>157</v>
      </c>
      <c r="J53" t="s">
        <v>6</v>
      </c>
    </row>
    <row r="54" spans="8:10" x14ac:dyDescent="0.25">
      <c r="H54" s="17">
        <f t="shared" si="1"/>
        <v>2.0027653166634929</v>
      </c>
      <c r="I54" s="18">
        <f t="shared" si="0"/>
        <v>156</v>
      </c>
      <c r="J54" t="s">
        <v>6</v>
      </c>
    </row>
    <row r="55" spans="8:10" x14ac:dyDescent="0.25">
      <c r="H55" s="17">
        <f t="shared" si="1"/>
        <v>2.0420352248333655</v>
      </c>
      <c r="I55" s="18">
        <f t="shared" si="0"/>
        <v>156</v>
      </c>
      <c r="J55" t="s">
        <v>6</v>
      </c>
    </row>
    <row r="56" spans="8:10" x14ac:dyDescent="0.25">
      <c r="H56" s="17">
        <f t="shared" si="1"/>
        <v>2.0813051330032382</v>
      </c>
      <c r="I56" s="18">
        <f t="shared" si="0"/>
        <v>155</v>
      </c>
      <c r="J56" t="s">
        <v>6</v>
      </c>
    </row>
    <row r="57" spans="8:10" x14ac:dyDescent="0.25">
      <c r="H57" s="17">
        <f t="shared" si="1"/>
        <v>2.1205750411731108</v>
      </c>
      <c r="I57" s="18">
        <f t="shared" si="0"/>
        <v>154</v>
      </c>
      <c r="J57" t="s">
        <v>6</v>
      </c>
    </row>
    <row r="58" spans="8:10" x14ac:dyDescent="0.25">
      <c r="H58" s="17">
        <f t="shared" si="1"/>
        <v>2.1598449493429834</v>
      </c>
      <c r="I58" s="18">
        <f t="shared" si="0"/>
        <v>154</v>
      </c>
      <c r="J58" t="s">
        <v>6</v>
      </c>
    </row>
    <row r="59" spans="8:10" x14ac:dyDescent="0.25">
      <c r="H59" s="17">
        <f t="shared" si="1"/>
        <v>2.1991148575128561</v>
      </c>
      <c r="I59" s="18">
        <f t="shared" si="0"/>
        <v>153</v>
      </c>
      <c r="J59" t="s">
        <v>6</v>
      </c>
    </row>
    <row r="60" spans="8:10" x14ac:dyDescent="0.25">
      <c r="H60" s="17">
        <f t="shared" si="1"/>
        <v>2.2383847656827287</v>
      </c>
      <c r="I60" s="18">
        <f t="shared" si="0"/>
        <v>152</v>
      </c>
      <c r="J60" t="s">
        <v>6</v>
      </c>
    </row>
    <row r="61" spans="8:10" x14ac:dyDescent="0.25">
      <c r="H61" s="17">
        <f t="shared" si="1"/>
        <v>2.2776546738526013</v>
      </c>
      <c r="I61" s="18">
        <f t="shared" si="0"/>
        <v>151</v>
      </c>
      <c r="J61" t="s">
        <v>6</v>
      </c>
    </row>
    <row r="62" spans="8:10" x14ac:dyDescent="0.25">
      <c r="H62" s="17">
        <f t="shared" si="1"/>
        <v>2.316924582022474</v>
      </c>
      <c r="I62" s="18">
        <f t="shared" si="0"/>
        <v>150</v>
      </c>
      <c r="J62" t="s">
        <v>6</v>
      </c>
    </row>
    <row r="63" spans="8:10" x14ac:dyDescent="0.25">
      <c r="H63" s="17">
        <f t="shared" si="1"/>
        <v>2.3561944901923466</v>
      </c>
      <c r="I63" s="18">
        <f t="shared" si="0"/>
        <v>150</v>
      </c>
      <c r="J63" t="s">
        <v>6</v>
      </c>
    </row>
    <row r="64" spans="8:10" x14ac:dyDescent="0.25">
      <c r="H64" s="17">
        <f t="shared" si="1"/>
        <v>2.3954643983622192</v>
      </c>
      <c r="I64" s="18">
        <f t="shared" si="0"/>
        <v>149</v>
      </c>
      <c r="J64" t="s">
        <v>6</v>
      </c>
    </row>
    <row r="65" spans="8:10" x14ac:dyDescent="0.25">
      <c r="H65" s="17">
        <f t="shared" si="1"/>
        <v>2.4347343065320919</v>
      </c>
      <c r="I65" s="18">
        <f t="shared" si="0"/>
        <v>148</v>
      </c>
      <c r="J65" t="s">
        <v>6</v>
      </c>
    </row>
    <row r="66" spans="8:10" x14ac:dyDescent="0.25">
      <c r="H66" s="17">
        <f t="shared" si="1"/>
        <v>2.4740042147019645</v>
      </c>
      <c r="I66" s="18">
        <f t="shared" si="0"/>
        <v>147</v>
      </c>
      <c r="J66" t="s">
        <v>6</v>
      </c>
    </row>
    <row r="67" spans="8:10" x14ac:dyDescent="0.25">
      <c r="H67" s="17">
        <f t="shared" si="1"/>
        <v>2.5132741228718372</v>
      </c>
      <c r="I67" s="18">
        <f t="shared" si="0"/>
        <v>146</v>
      </c>
      <c r="J67" t="s">
        <v>6</v>
      </c>
    </row>
    <row r="68" spans="8:10" x14ac:dyDescent="0.25">
      <c r="H68" s="17">
        <f t="shared" si="1"/>
        <v>2.5525440310417098</v>
      </c>
      <c r="I68" s="18">
        <f t="shared" si="0"/>
        <v>145</v>
      </c>
      <c r="J68" t="s">
        <v>6</v>
      </c>
    </row>
    <row r="69" spans="8:10" x14ac:dyDescent="0.25">
      <c r="H69" s="17">
        <f t="shared" si="1"/>
        <v>2.5918139392115824</v>
      </c>
      <c r="I69" s="18">
        <f t="shared" ref="I69:I132" si="10">ROUND(SIN(H69)*$L$2+$L$1,0)</f>
        <v>144</v>
      </c>
      <c r="J69" t="s">
        <v>6</v>
      </c>
    </row>
    <row r="70" spans="8:10" x14ac:dyDescent="0.25">
      <c r="H70" s="17">
        <f t="shared" ref="H70:H133" si="11">H69+$I$2</f>
        <v>2.6310838473814551</v>
      </c>
      <c r="I70" s="18">
        <f t="shared" si="10"/>
        <v>143</v>
      </c>
      <c r="J70" t="s">
        <v>6</v>
      </c>
    </row>
    <row r="71" spans="8:10" x14ac:dyDescent="0.25">
      <c r="H71" s="17">
        <f t="shared" si="11"/>
        <v>2.6703537555513277</v>
      </c>
      <c r="I71" s="18">
        <f t="shared" si="10"/>
        <v>142</v>
      </c>
      <c r="J71" t="s">
        <v>6</v>
      </c>
    </row>
    <row r="72" spans="8:10" x14ac:dyDescent="0.25">
      <c r="H72" s="17">
        <f t="shared" si="11"/>
        <v>2.7096236637212003</v>
      </c>
      <c r="I72" s="18">
        <f t="shared" si="10"/>
        <v>140</v>
      </c>
      <c r="J72" t="s">
        <v>6</v>
      </c>
    </row>
    <row r="73" spans="8:10" x14ac:dyDescent="0.25">
      <c r="H73" s="17">
        <f t="shared" si="11"/>
        <v>2.748893571891073</v>
      </c>
      <c r="I73" s="18">
        <f t="shared" si="10"/>
        <v>139</v>
      </c>
      <c r="J73" t="s">
        <v>6</v>
      </c>
    </row>
    <row r="74" spans="8:10" x14ac:dyDescent="0.25">
      <c r="H74" s="17">
        <f t="shared" si="11"/>
        <v>2.7881634800609456</v>
      </c>
      <c r="I74" s="18">
        <f t="shared" si="10"/>
        <v>138</v>
      </c>
      <c r="J74" t="s">
        <v>6</v>
      </c>
    </row>
    <row r="75" spans="8:10" x14ac:dyDescent="0.25">
      <c r="H75" s="17">
        <f t="shared" si="11"/>
        <v>2.8274333882308182</v>
      </c>
      <c r="I75" s="18">
        <f t="shared" si="10"/>
        <v>137</v>
      </c>
      <c r="J75" t="s">
        <v>6</v>
      </c>
    </row>
    <row r="76" spans="8:10" x14ac:dyDescent="0.25">
      <c r="H76" s="17">
        <f t="shared" si="11"/>
        <v>2.8667032964006909</v>
      </c>
      <c r="I76" s="18">
        <f t="shared" si="10"/>
        <v>136</v>
      </c>
      <c r="J76" t="s">
        <v>6</v>
      </c>
    </row>
    <row r="77" spans="8:10" x14ac:dyDescent="0.25">
      <c r="H77" s="17">
        <f t="shared" si="11"/>
        <v>2.9059732045705635</v>
      </c>
      <c r="I77" s="18">
        <f t="shared" si="10"/>
        <v>134</v>
      </c>
      <c r="J77" t="s">
        <v>6</v>
      </c>
    </row>
    <row r="78" spans="8:10" x14ac:dyDescent="0.25">
      <c r="H78" s="17">
        <f t="shared" si="11"/>
        <v>2.9452431127404362</v>
      </c>
      <c r="I78" s="18">
        <f t="shared" si="10"/>
        <v>133</v>
      </c>
      <c r="J78" t="s">
        <v>6</v>
      </c>
    </row>
    <row r="79" spans="8:10" x14ac:dyDescent="0.25">
      <c r="H79" s="17">
        <f t="shared" si="11"/>
        <v>2.9845130209103088</v>
      </c>
      <c r="I79" s="18">
        <f t="shared" si="10"/>
        <v>132</v>
      </c>
      <c r="J79" t="s">
        <v>6</v>
      </c>
    </row>
    <row r="80" spans="8:10" x14ac:dyDescent="0.25">
      <c r="H80" s="17">
        <f t="shared" si="11"/>
        <v>3.0237829290801814</v>
      </c>
      <c r="I80" s="18">
        <f t="shared" si="10"/>
        <v>131</v>
      </c>
      <c r="J80" t="s">
        <v>6</v>
      </c>
    </row>
    <row r="81" spans="8:10" x14ac:dyDescent="0.25">
      <c r="H81" s="17">
        <f t="shared" si="11"/>
        <v>3.0630528372500541</v>
      </c>
      <c r="I81" s="18">
        <f t="shared" si="10"/>
        <v>130</v>
      </c>
      <c r="J81" t="s">
        <v>6</v>
      </c>
    </row>
    <row r="82" spans="8:10" x14ac:dyDescent="0.25">
      <c r="H82" s="17">
        <f t="shared" si="11"/>
        <v>3.1023227454199267</v>
      </c>
      <c r="I82" s="18">
        <f t="shared" si="10"/>
        <v>128</v>
      </c>
      <c r="J82" t="s">
        <v>6</v>
      </c>
    </row>
    <row r="83" spans="8:10" x14ac:dyDescent="0.25">
      <c r="H83" s="17">
        <f t="shared" si="11"/>
        <v>3.1415926535897993</v>
      </c>
      <c r="I83" s="18">
        <f t="shared" si="10"/>
        <v>127</v>
      </c>
      <c r="J83" t="s">
        <v>6</v>
      </c>
    </row>
    <row r="84" spans="8:10" x14ac:dyDescent="0.25">
      <c r="H84" s="17">
        <f t="shared" si="11"/>
        <v>3.180862561759672</v>
      </c>
      <c r="I84" s="18">
        <f t="shared" si="10"/>
        <v>126</v>
      </c>
      <c r="J84" t="s">
        <v>6</v>
      </c>
    </row>
    <row r="85" spans="8:10" x14ac:dyDescent="0.25">
      <c r="H85" s="17">
        <f t="shared" si="11"/>
        <v>3.2201324699295446</v>
      </c>
      <c r="I85" s="18">
        <f t="shared" si="10"/>
        <v>124</v>
      </c>
      <c r="J85" t="s">
        <v>6</v>
      </c>
    </row>
    <row r="86" spans="8:10" x14ac:dyDescent="0.25">
      <c r="H86" s="17">
        <f t="shared" si="11"/>
        <v>3.2594023780994172</v>
      </c>
      <c r="I86" s="18">
        <f t="shared" si="10"/>
        <v>123</v>
      </c>
      <c r="J86" t="s">
        <v>6</v>
      </c>
    </row>
    <row r="87" spans="8:10" x14ac:dyDescent="0.25">
      <c r="H87" s="17">
        <f t="shared" si="11"/>
        <v>3.2986722862692899</v>
      </c>
      <c r="I87" s="18">
        <f t="shared" si="10"/>
        <v>122</v>
      </c>
      <c r="J87" t="s">
        <v>6</v>
      </c>
    </row>
    <row r="88" spans="8:10" x14ac:dyDescent="0.25">
      <c r="H88" s="17">
        <f t="shared" si="11"/>
        <v>3.3379421944391625</v>
      </c>
      <c r="I88" s="18">
        <f t="shared" si="10"/>
        <v>121</v>
      </c>
      <c r="J88" t="s">
        <v>6</v>
      </c>
    </row>
    <row r="89" spans="8:10" x14ac:dyDescent="0.25">
      <c r="H89" s="17">
        <f t="shared" si="11"/>
        <v>3.3772121026090351</v>
      </c>
      <c r="I89" s="18">
        <f t="shared" si="10"/>
        <v>120</v>
      </c>
      <c r="J89" t="s">
        <v>6</v>
      </c>
    </row>
    <row r="90" spans="8:10" x14ac:dyDescent="0.25">
      <c r="H90" s="17">
        <f t="shared" si="11"/>
        <v>3.4164820107789078</v>
      </c>
      <c r="I90" s="18">
        <f t="shared" si="10"/>
        <v>118</v>
      </c>
      <c r="J90" t="s">
        <v>6</v>
      </c>
    </row>
    <row r="91" spans="8:10" x14ac:dyDescent="0.25">
      <c r="H91" s="17">
        <f t="shared" si="11"/>
        <v>3.4557519189487804</v>
      </c>
      <c r="I91" s="18">
        <f t="shared" si="10"/>
        <v>117</v>
      </c>
      <c r="J91" t="s">
        <v>6</v>
      </c>
    </row>
    <row r="92" spans="8:10" x14ac:dyDescent="0.25">
      <c r="H92" s="17">
        <f t="shared" si="11"/>
        <v>3.4950218271186531</v>
      </c>
      <c r="I92" s="18">
        <f t="shared" si="10"/>
        <v>116</v>
      </c>
      <c r="J92" t="s">
        <v>6</v>
      </c>
    </row>
    <row r="93" spans="8:10" x14ac:dyDescent="0.25">
      <c r="H93" s="17">
        <f t="shared" si="11"/>
        <v>3.5342917352885257</v>
      </c>
      <c r="I93" s="18">
        <f t="shared" si="10"/>
        <v>115</v>
      </c>
      <c r="J93" t="s">
        <v>6</v>
      </c>
    </row>
    <row r="94" spans="8:10" x14ac:dyDescent="0.25">
      <c r="H94" s="17">
        <f t="shared" si="11"/>
        <v>3.5735616434583983</v>
      </c>
      <c r="I94" s="18">
        <f t="shared" si="10"/>
        <v>114</v>
      </c>
      <c r="J94" t="s">
        <v>6</v>
      </c>
    </row>
    <row r="95" spans="8:10" x14ac:dyDescent="0.25">
      <c r="H95" s="17">
        <f t="shared" si="11"/>
        <v>3.612831551628271</v>
      </c>
      <c r="I95" s="18">
        <f t="shared" si="10"/>
        <v>112</v>
      </c>
      <c r="J95" t="s">
        <v>6</v>
      </c>
    </row>
    <row r="96" spans="8:10" x14ac:dyDescent="0.25">
      <c r="H96" s="17">
        <f t="shared" si="11"/>
        <v>3.6521014597981436</v>
      </c>
      <c r="I96" s="18">
        <f t="shared" si="10"/>
        <v>111</v>
      </c>
      <c r="J96" t="s">
        <v>6</v>
      </c>
    </row>
    <row r="97" spans="8:10" x14ac:dyDescent="0.25">
      <c r="H97" s="17">
        <f t="shared" si="11"/>
        <v>3.6913713679680162</v>
      </c>
      <c r="I97" s="18">
        <f t="shared" si="10"/>
        <v>110</v>
      </c>
      <c r="J97" t="s">
        <v>6</v>
      </c>
    </row>
    <row r="98" spans="8:10" x14ac:dyDescent="0.25">
      <c r="H98" s="17">
        <f t="shared" si="11"/>
        <v>3.7306412761378889</v>
      </c>
      <c r="I98" s="18">
        <f t="shared" si="10"/>
        <v>109</v>
      </c>
      <c r="J98" t="s">
        <v>6</v>
      </c>
    </row>
    <row r="99" spans="8:10" x14ac:dyDescent="0.25">
      <c r="H99" s="17">
        <f t="shared" si="11"/>
        <v>3.7699111843077615</v>
      </c>
      <c r="I99" s="18">
        <f t="shared" si="10"/>
        <v>108</v>
      </c>
      <c r="J99" t="s">
        <v>6</v>
      </c>
    </row>
    <row r="100" spans="8:10" x14ac:dyDescent="0.25">
      <c r="H100" s="17">
        <f t="shared" si="11"/>
        <v>3.8091810924776341</v>
      </c>
      <c r="I100" s="18">
        <f t="shared" si="10"/>
        <v>107</v>
      </c>
      <c r="J100" t="s">
        <v>6</v>
      </c>
    </row>
    <row r="101" spans="8:10" x14ac:dyDescent="0.25">
      <c r="H101" s="17">
        <f t="shared" si="11"/>
        <v>3.8484510006475068</v>
      </c>
      <c r="I101" s="18">
        <f t="shared" si="10"/>
        <v>106</v>
      </c>
      <c r="J101" t="s">
        <v>6</v>
      </c>
    </row>
    <row r="102" spans="8:10" x14ac:dyDescent="0.25">
      <c r="H102" s="17">
        <f t="shared" si="11"/>
        <v>3.8877209088173794</v>
      </c>
      <c r="I102" s="18">
        <f t="shared" si="10"/>
        <v>105</v>
      </c>
      <c r="J102" t="s">
        <v>6</v>
      </c>
    </row>
    <row r="103" spans="8:10" x14ac:dyDescent="0.25">
      <c r="H103" s="17">
        <f t="shared" si="11"/>
        <v>3.9269908169872521</v>
      </c>
      <c r="I103" s="18">
        <f t="shared" si="10"/>
        <v>104</v>
      </c>
      <c r="J103" t="s">
        <v>6</v>
      </c>
    </row>
    <row r="104" spans="8:10" x14ac:dyDescent="0.25">
      <c r="H104" s="17">
        <f t="shared" si="11"/>
        <v>3.9662607251571247</v>
      </c>
      <c r="I104" s="18">
        <f t="shared" si="10"/>
        <v>104</v>
      </c>
      <c r="J104" t="s">
        <v>6</v>
      </c>
    </row>
    <row r="105" spans="8:10" x14ac:dyDescent="0.25">
      <c r="H105" s="17">
        <f t="shared" si="11"/>
        <v>4.0055306333269973</v>
      </c>
      <c r="I105" s="18">
        <f t="shared" si="10"/>
        <v>103</v>
      </c>
      <c r="J105" t="s">
        <v>6</v>
      </c>
    </row>
    <row r="106" spans="8:10" x14ac:dyDescent="0.25">
      <c r="H106" s="17">
        <f t="shared" si="11"/>
        <v>4.04480054149687</v>
      </c>
      <c r="I106" s="18">
        <f t="shared" si="10"/>
        <v>102</v>
      </c>
      <c r="J106" t="s">
        <v>6</v>
      </c>
    </row>
    <row r="107" spans="8:10" x14ac:dyDescent="0.25">
      <c r="H107" s="17">
        <f t="shared" si="11"/>
        <v>4.0840704496667426</v>
      </c>
      <c r="I107" s="18">
        <f t="shared" si="10"/>
        <v>101</v>
      </c>
      <c r="J107" t="s">
        <v>6</v>
      </c>
    </row>
    <row r="108" spans="8:10" x14ac:dyDescent="0.25">
      <c r="H108" s="17">
        <f t="shared" si="11"/>
        <v>4.1233403578366152</v>
      </c>
      <c r="I108" s="18">
        <f t="shared" si="10"/>
        <v>100</v>
      </c>
      <c r="J108" t="s">
        <v>6</v>
      </c>
    </row>
    <row r="109" spans="8:10" x14ac:dyDescent="0.25">
      <c r="H109" s="17">
        <f t="shared" si="11"/>
        <v>4.1626102660064879</v>
      </c>
      <c r="I109" s="18">
        <f t="shared" si="10"/>
        <v>100</v>
      </c>
      <c r="J109" t="s">
        <v>6</v>
      </c>
    </row>
    <row r="110" spans="8:10" x14ac:dyDescent="0.25">
      <c r="H110" s="17">
        <f t="shared" si="11"/>
        <v>4.2018801741763605</v>
      </c>
      <c r="I110" s="18">
        <f t="shared" si="10"/>
        <v>99</v>
      </c>
      <c r="J110" t="s">
        <v>6</v>
      </c>
    </row>
    <row r="111" spans="8:10" x14ac:dyDescent="0.25">
      <c r="H111" s="17">
        <f t="shared" si="11"/>
        <v>4.2411500823462331</v>
      </c>
      <c r="I111" s="18">
        <f t="shared" si="10"/>
        <v>98</v>
      </c>
      <c r="J111" t="s">
        <v>6</v>
      </c>
    </row>
    <row r="112" spans="8:10" x14ac:dyDescent="0.25">
      <c r="H112" s="17">
        <f t="shared" si="11"/>
        <v>4.2804199905161058</v>
      </c>
      <c r="I112" s="18">
        <f t="shared" si="10"/>
        <v>98</v>
      </c>
      <c r="J112" t="s">
        <v>6</v>
      </c>
    </row>
    <row r="113" spans="8:10" x14ac:dyDescent="0.25">
      <c r="H113" s="17">
        <f t="shared" si="11"/>
        <v>4.3196898986859784</v>
      </c>
      <c r="I113" s="18">
        <f t="shared" si="10"/>
        <v>97</v>
      </c>
      <c r="J113" t="s">
        <v>6</v>
      </c>
    </row>
    <row r="114" spans="8:10" x14ac:dyDescent="0.25">
      <c r="H114" s="17">
        <f t="shared" si="11"/>
        <v>4.358959806855851</v>
      </c>
      <c r="I114" s="18">
        <f t="shared" si="10"/>
        <v>97</v>
      </c>
      <c r="J114" t="s">
        <v>6</v>
      </c>
    </row>
    <row r="115" spans="8:10" x14ac:dyDescent="0.25">
      <c r="H115" s="17">
        <f t="shared" si="11"/>
        <v>4.3982297150257237</v>
      </c>
      <c r="I115" s="18">
        <f t="shared" si="10"/>
        <v>97</v>
      </c>
      <c r="J115" t="s">
        <v>6</v>
      </c>
    </row>
    <row r="116" spans="8:10" x14ac:dyDescent="0.25">
      <c r="H116" s="17">
        <f t="shared" si="11"/>
        <v>4.4374996231955963</v>
      </c>
      <c r="I116" s="18">
        <f t="shared" si="10"/>
        <v>96</v>
      </c>
      <c r="J116" t="s">
        <v>6</v>
      </c>
    </row>
    <row r="117" spans="8:10" x14ac:dyDescent="0.25">
      <c r="H117" s="17">
        <f t="shared" si="11"/>
        <v>4.476769531365469</v>
      </c>
      <c r="I117" s="18">
        <f t="shared" si="10"/>
        <v>96</v>
      </c>
      <c r="J117" t="s">
        <v>6</v>
      </c>
    </row>
    <row r="118" spans="8:10" x14ac:dyDescent="0.25">
      <c r="H118" s="17">
        <f t="shared" si="11"/>
        <v>4.5160394395353416</v>
      </c>
      <c r="I118" s="18">
        <f t="shared" si="10"/>
        <v>96</v>
      </c>
      <c r="J118" t="s">
        <v>6</v>
      </c>
    </row>
    <row r="119" spans="8:10" x14ac:dyDescent="0.25">
      <c r="H119" s="17">
        <f t="shared" si="11"/>
        <v>4.5553093477052142</v>
      </c>
      <c r="I119" s="18">
        <f t="shared" si="10"/>
        <v>95</v>
      </c>
      <c r="J119" t="s">
        <v>6</v>
      </c>
    </row>
    <row r="120" spans="8:10" x14ac:dyDescent="0.25">
      <c r="H120" s="17">
        <f t="shared" si="11"/>
        <v>4.5945792558750869</v>
      </c>
      <c r="I120" s="18">
        <f t="shared" si="10"/>
        <v>95</v>
      </c>
      <c r="J120" t="s">
        <v>6</v>
      </c>
    </row>
    <row r="121" spans="8:10" x14ac:dyDescent="0.25">
      <c r="H121" s="17">
        <f t="shared" si="11"/>
        <v>4.6338491640449595</v>
      </c>
      <c r="I121" s="18">
        <f t="shared" si="10"/>
        <v>95</v>
      </c>
      <c r="J121" t="s">
        <v>6</v>
      </c>
    </row>
    <row r="122" spans="8:10" x14ac:dyDescent="0.25">
      <c r="H122" s="17">
        <f t="shared" si="11"/>
        <v>4.6731190722148321</v>
      </c>
      <c r="I122" s="18">
        <f t="shared" si="10"/>
        <v>95</v>
      </c>
      <c r="J122" t="s">
        <v>6</v>
      </c>
    </row>
    <row r="123" spans="8:10" x14ac:dyDescent="0.25">
      <c r="H123" s="17">
        <f t="shared" si="11"/>
        <v>4.7123889803847048</v>
      </c>
      <c r="I123" s="18">
        <f t="shared" si="10"/>
        <v>95</v>
      </c>
      <c r="J123" t="s">
        <v>6</v>
      </c>
    </row>
    <row r="124" spans="8:10" x14ac:dyDescent="0.25">
      <c r="H124" s="17">
        <f t="shared" si="11"/>
        <v>4.7516588885545774</v>
      </c>
      <c r="I124" s="18">
        <f t="shared" si="10"/>
        <v>95</v>
      </c>
      <c r="J124" t="s">
        <v>6</v>
      </c>
    </row>
    <row r="125" spans="8:10" x14ac:dyDescent="0.25">
      <c r="H125" s="17">
        <f t="shared" si="11"/>
        <v>4.79092879672445</v>
      </c>
      <c r="I125" s="18">
        <f t="shared" si="10"/>
        <v>95</v>
      </c>
      <c r="J125" t="s">
        <v>6</v>
      </c>
    </row>
    <row r="126" spans="8:10" x14ac:dyDescent="0.25">
      <c r="H126" s="17">
        <f t="shared" si="11"/>
        <v>4.8301987048943227</v>
      </c>
      <c r="I126" s="18">
        <f t="shared" si="10"/>
        <v>95</v>
      </c>
      <c r="J126" t="s">
        <v>6</v>
      </c>
    </row>
    <row r="127" spans="8:10" x14ac:dyDescent="0.25">
      <c r="H127" s="17">
        <f t="shared" si="11"/>
        <v>4.8694686130641953</v>
      </c>
      <c r="I127" s="18">
        <f t="shared" si="10"/>
        <v>95</v>
      </c>
      <c r="J127" t="s">
        <v>6</v>
      </c>
    </row>
    <row r="128" spans="8:10" x14ac:dyDescent="0.25">
      <c r="H128" s="17">
        <f t="shared" si="11"/>
        <v>4.908738521234068</v>
      </c>
      <c r="I128" s="18">
        <f t="shared" si="10"/>
        <v>96</v>
      </c>
      <c r="J128" t="s">
        <v>6</v>
      </c>
    </row>
    <row r="129" spans="8:10" x14ac:dyDescent="0.25">
      <c r="H129" s="17">
        <f t="shared" si="11"/>
        <v>4.9480084294039406</v>
      </c>
      <c r="I129" s="18">
        <f t="shared" si="10"/>
        <v>96</v>
      </c>
      <c r="J129" t="s">
        <v>6</v>
      </c>
    </row>
    <row r="130" spans="8:10" x14ac:dyDescent="0.25">
      <c r="H130" s="17">
        <f t="shared" si="11"/>
        <v>4.9872783375738132</v>
      </c>
      <c r="I130" s="18">
        <f t="shared" si="10"/>
        <v>96</v>
      </c>
      <c r="J130" t="s">
        <v>6</v>
      </c>
    </row>
    <row r="131" spans="8:10" x14ac:dyDescent="0.25">
      <c r="H131" s="17">
        <f t="shared" si="11"/>
        <v>5.0265482457436859</v>
      </c>
      <c r="I131" s="18">
        <f t="shared" si="10"/>
        <v>97</v>
      </c>
      <c r="J131" t="s">
        <v>6</v>
      </c>
    </row>
    <row r="132" spans="8:10" x14ac:dyDescent="0.25">
      <c r="H132" s="17">
        <f t="shared" si="11"/>
        <v>5.0658181539135585</v>
      </c>
      <c r="I132" s="18">
        <f t="shared" si="10"/>
        <v>97</v>
      </c>
      <c r="J132" t="s">
        <v>6</v>
      </c>
    </row>
    <row r="133" spans="8:10" x14ac:dyDescent="0.25">
      <c r="H133" s="17">
        <f t="shared" si="11"/>
        <v>5.1050880620834311</v>
      </c>
      <c r="I133" s="18">
        <f t="shared" ref="I133:I196" si="12">ROUND(SIN(H133)*$L$2+$L$1,0)</f>
        <v>97</v>
      </c>
      <c r="J133" t="s">
        <v>6</v>
      </c>
    </row>
    <row r="134" spans="8:10" x14ac:dyDescent="0.25">
      <c r="H134" s="17">
        <f t="shared" ref="H134:H197" si="13">H133+$I$2</f>
        <v>5.1443579702533038</v>
      </c>
      <c r="I134" s="18">
        <f t="shared" si="12"/>
        <v>98</v>
      </c>
      <c r="J134" t="s">
        <v>6</v>
      </c>
    </row>
    <row r="135" spans="8:10" x14ac:dyDescent="0.25">
      <c r="H135" s="17">
        <f t="shared" si="13"/>
        <v>5.1836278784231764</v>
      </c>
      <c r="I135" s="18">
        <f t="shared" si="12"/>
        <v>98</v>
      </c>
      <c r="J135" t="s">
        <v>6</v>
      </c>
    </row>
    <row r="136" spans="8:10" x14ac:dyDescent="0.25">
      <c r="H136" s="17">
        <f t="shared" si="13"/>
        <v>5.222897786593049</v>
      </c>
      <c r="I136" s="18">
        <f t="shared" si="12"/>
        <v>99</v>
      </c>
      <c r="J136" t="s">
        <v>6</v>
      </c>
    </row>
    <row r="137" spans="8:10" x14ac:dyDescent="0.25">
      <c r="H137" s="17">
        <f t="shared" si="13"/>
        <v>5.2621676947629217</v>
      </c>
      <c r="I137" s="18">
        <f t="shared" si="12"/>
        <v>100</v>
      </c>
      <c r="J137" t="s">
        <v>6</v>
      </c>
    </row>
    <row r="138" spans="8:10" x14ac:dyDescent="0.25">
      <c r="H138" s="17">
        <f t="shared" si="13"/>
        <v>5.3014376029327943</v>
      </c>
      <c r="I138" s="18">
        <f t="shared" si="12"/>
        <v>100</v>
      </c>
      <c r="J138" t="s">
        <v>6</v>
      </c>
    </row>
    <row r="139" spans="8:10" x14ac:dyDescent="0.25">
      <c r="H139" s="17">
        <f t="shared" si="13"/>
        <v>5.3407075111026669</v>
      </c>
      <c r="I139" s="18">
        <f t="shared" si="12"/>
        <v>101</v>
      </c>
      <c r="J139" t="s">
        <v>6</v>
      </c>
    </row>
    <row r="140" spans="8:10" x14ac:dyDescent="0.25">
      <c r="H140" s="17">
        <f t="shared" si="13"/>
        <v>5.3799774192725396</v>
      </c>
      <c r="I140" s="18">
        <f t="shared" si="12"/>
        <v>102</v>
      </c>
      <c r="J140" t="s">
        <v>6</v>
      </c>
    </row>
    <row r="141" spans="8:10" x14ac:dyDescent="0.25">
      <c r="H141" s="17">
        <f t="shared" si="13"/>
        <v>5.4192473274424122</v>
      </c>
      <c r="I141" s="18">
        <f t="shared" si="12"/>
        <v>103</v>
      </c>
      <c r="J141" t="s">
        <v>6</v>
      </c>
    </row>
    <row r="142" spans="8:10" x14ac:dyDescent="0.25">
      <c r="H142" s="17">
        <f t="shared" si="13"/>
        <v>5.4585172356122849</v>
      </c>
      <c r="I142" s="18">
        <f t="shared" si="12"/>
        <v>104</v>
      </c>
      <c r="J142" t="s">
        <v>6</v>
      </c>
    </row>
    <row r="143" spans="8:10" x14ac:dyDescent="0.25">
      <c r="H143" s="17">
        <f t="shared" si="13"/>
        <v>5.4977871437821575</v>
      </c>
      <c r="I143" s="18">
        <f t="shared" si="12"/>
        <v>104</v>
      </c>
      <c r="J143" t="s">
        <v>6</v>
      </c>
    </row>
    <row r="144" spans="8:10" x14ac:dyDescent="0.25">
      <c r="H144" s="17">
        <f t="shared" si="13"/>
        <v>5.5370570519520301</v>
      </c>
      <c r="I144" s="18">
        <f t="shared" si="12"/>
        <v>105</v>
      </c>
      <c r="J144" t="s">
        <v>6</v>
      </c>
    </row>
    <row r="145" spans="8:10" x14ac:dyDescent="0.25">
      <c r="H145" s="17">
        <f t="shared" si="13"/>
        <v>5.5763269601219028</v>
      </c>
      <c r="I145" s="18">
        <f t="shared" si="12"/>
        <v>106</v>
      </c>
      <c r="J145" t="s">
        <v>6</v>
      </c>
    </row>
    <row r="146" spans="8:10" x14ac:dyDescent="0.25">
      <c r="H146" s="17">
        <f t="shared" si="13"/>
        <v>5.6155968682917754</v>
      </c>
      <c r="I146" s="18">
        <f t="shared" si="12"/>
        <v>107</v>
      </c>
      <c r="J146" t="s">
        <v>6</v>
      </c>
    </row>
    <row r="147" spans="8:10" x14ac:dyDescent="0.25">
      <c r="H147" s="17">
        <f t="shared" si="13"/>
        <v>5.654866776461648</v>
      </c>
      <c r="I147" s="18">
        <f t="shared" si="12"/>
        <v>108</v>
      </c>
      <c r="J147" t="s">
        <v>6</v>
      </c>
    </row>
    <row r="148" spans="8:10" x14ac:dyDescent="0.25">
      <c r="H148" s="17">
        <f t="shared" si="13"/>
        <v>5.6941366846315207</v>
      </c>
      <c r="I148" s="18">
        <f t="shared" si="12"/>
        <v>109</v>
      </c>
      <c r="J148" t="s">
        <v>6</v>
      </c>
    </row>
    <row r="149" spans="8:10" x14ac:dyDescent="0.25">
      <c r="H149" s="17">
        <f t="shared" si="13"/>
        <v>5.7334065928013933</v>
      </c>
      <c r="I149" s="18">
        <f t="shared" si="12"/>
        <v>110</v>
      </c>
      <c r="J149" t="s">
        <v>6</v>
      </c>
    </row>
    <row r="150" spans="8:10" x14ac:dyDescent="0.25">
      <c r="H150" s="17">
        <f t="shared" si="13"/>
        <v>5.7726765009712659</v>
      </c>
      <c r="I150" s="18">
        <f t="shared" si="12"/>
        <v>111</v>
      </c>
      <c r="J150" t="s">
        <v>6</v>
      </c>
    </row>
    <row r="151" spans="8:10" x14ac:dyDescent="0.25">
      <c r="H151" s="17">
        <f t="shared" si="13"/>
        <v>5.8119464091411386</v>
      </c>
      <c r="I151" s="18">
        <f t="shared" si="12"/>
        <v>112</v>
      </c>
      <c r="J151" t="s">
        <v>6</v>
      </c>
    </row>
    <row r="152" spans="8:10" x14ac:dyDescent="0.25">
      <c r="H152" s="17">
        <f t="shared" si="13"/>
        <v>5.8512163173110112</v>
      </c>
      <c r="I152" s="18">
        <f t="shared" si="12"/>
        <v>114</v>
      </c>
      <c r="J152" t="s">
        <v>6</v>
      </c>
    </row>
    <row r="153" spans="8:10" x14ac:dyDescent="0.25">
      <c r="H153" s="17">
        <f t="shared" si="13"/>
        <v>5.8904862254808839</v>
      </c>
      <c r="I153" s="18">
        <f t="shared" si="12"/>
        <v>115</v>
      </c>
      <c r="J153" t="s">
        <v>6</v>
      </c>
    </row>
    <row r="154" spans="8:10" x14ac:dyDescent="0.25">
      <c r="H154" s="17">
        <f t="shared" si="13"/>
        <v>5.9297561336507565</v>
      </c>
      <c r="I154" s="18">
        <f t="shared" si="12"/>
        <v>116</v>
      </c>
      <c r="J154" t="s">
        <v>6</v>
      </c>
    </row>
    <row r="155" spans="8:10" x14ac:dyDescent="0.25">
      <c r="H155" s="17">
        <f t="shared" si="13"/>
        <v>5.9690260418206291</v>
      </c>
      <c r="I155" s="18">
        <f t="shared" si="12"/>
        <v>117</v>
      </c>
      <c r="J155" t="s">
        <v>6</v>
      </c>
    </row>
    <row r="156" spans="8:10" x14ac:dyDescent="0.25">
      <c r="H156" s="17">
        <f t="shared" si="13"/>
        <v>6.0082959499905018</v>
      </c>
      <c r="I156" s="18">
        <f t="shared" si="12"/>
        <v>118</v>
      </c>
      <c r="J156" t="s">
        <v>6</v>
      </c>
    </row>
    <row r="157" spans="8:10" x14ac:dyDescent="0.25">
      <c r="H157" s="17">
        <f t="shared" si="13"/>
        <v>6.0475658581603744</v>
      </c>
      <c r="I157" s="18">
        <f t="shared" si="12"/>
        <v>120</v>
      </c>
      <c r="J157" t="s">
        <v>6</v>
      </c>
    </row>
    <row r="158" spans="8:10" x14ac:dyDescent="0.25">
      <c r="H158" s="17">
        <f t="shared" si="13"/>
        <v>6.086835766330247</v>
      </c>
      <c r="I158" s="18">
        <f t="shared" si="12"/>
        <v>121</v>
      </c>
      <c r="J158" t="s">
        <v>6</v>
      </c>
    </row>
    <row r="159" spans="8:10" x14ac:dyDescent="0.25">
      <c r="H159" s="17">
        <f t="shared" si="13"/>
        <v>6.1261056745001197</v>
      </c>
      <c r="I159" s="18">
        <f t="shared" si="12"/>
        <v>122</v>
      </c>
      <c r="J159" t="s">
        <v>6</v>
      </c>
    </row>
    <row r="160" spans="8:10" x14ac:dyDescent="0.25">
      <c r="H160" s="17">
        <f t="shared" si="13"/>
        <v>6.1653755826699923</v>
      </c>
      <c r="I160" s="18">
        <f t="shared" si="12"/>
        <v>123</v>
      </c>
      <c r="J160" t="s">
        <v>6</v>
      </c>
    </row>
    <row r="161" spans="8:10" x14ac:dyDescent="0.25">
      <c r="H161" s="17">
        <f t="shared" si="13"/>
        <v>6.2046454908398649</v>
      </c>
      <c r="I161" s="18">
        <f t="shared" si="12"/>
        <v>124</v>
      </c>
      <c r="J161" t="s">
        <v>6</v>
      </c>
    </row>
    <row r="162" spans="8:10" x14ac:dyDescent="0.25">
      <c r="H162" s="17">
        <f t="shared" si="13"/>
        <v>6.2439153990097376</v>
      </c>
      <c r="I162" s="18">
        <f t="shared" si="12"/>
        <v>126</v>
      </c>
      <c r="J162" t="s">
        <v>6</v>
      </c>
    </row>
    <row r="163" spans="8:10" x14ac:dyDescent="0.25">
      <c r="H163" s="17">
        <f t="shared" si="13"/>
        <v>6.2831853071796102</v>
      </c>
      <c r="I163" s="18">
        <f t="shared" si="12"/>
        <v>127</v>
      </c>
      <c r="J163" t="s">
        <v>6</v>
      </c>
    </row>
    <row r="164" spans="8:10" x14ac:dyDescent="0.25">
      <c r="H164" s="17">
        <f t="shared" si="13"/>
        <v>6.3224552153494828</v>
      </c>
      <c r="I164" s="18">
        <f t="shared" si="12"/>
        <v>128</v>
      </c>
      <c r="J164" t="s">
        <v>6</v>
      </c>
    </row>
    <row r="165" spans="8:10" x14ac:dyDescent="0.25">
      <c r="H165" s="17">
        <f t="shared" si="13"/>
        <v>6.3617251235193555</v>
      </c>
      <c r="I165" s="18">
        <f t="shared" si="12"/>
        <v>130</v>
      </c>
      <c r="J165" t="s">
        <v>6</v>
      </c>
    </row>
    <row r="166" spans="8:10" x14ac:dyDescent="0.25">
      <c r="H166" s="17">
        <f t="shared" si="13"/>
        <v>6.4009950316892281</v>
      </c>
      <c r="I166" s="18">
        <f t="shared" si="12"/>
        <v>131</v>
      </c>
      <c r="J166" t="s">
        <v>6</v>
      </c>
    </row>
    <row r="167" spans="8:10" x14ac:dyDescent="0.25">
      <c r="H167" s="17">
        <f t="shared" si="13"/>
        <v>6.4402649398591008</v>
      </c>
      <c r="I167" s="18">
        <f t="shared" si="12"/>
        <v>132</v>
      </c>
      <c r="J167" t="s">
        <v>6</v>
      </c>
    </row>
    <row r="168" spans="8:10" x14ac:dyDescent="0.25">
      <c r="H168" s="17">
        <f t="shared" si="13"/>
        <v>6.4795348480289734</v>
      </c>
      <c r="I168" s="18">
        <f t="shared" si="12"/>
        <v>133</v>
      </c>
      <c r="J168" t="s">
        <v>6</v>
      </c>
    </row>
    <row r="169" spans="8:10" x14ac:dyDescent="0.25">
      <c r="H169" s="17">
        <f t="shared" si="13"/>
        <v>6.518804756198846</v>
      </c>
      <c r="I169" s="18">
        <f t="shared" si="12"/>
        <v>134</v>
      </c>
      <c r="J169" t="s">
        <v>6</v>
      </c>
    </row>
    <row r="170" spans="8:10" x14ac:dyDescent="0.25">
      <c r="H170" s="17">
        <f t="shared" si="13"/>
        <v>6.5580746643687187</v>
      </c>
      <c r="I170" s="18">
        <f t="shared" si="12"/>
        <v>136</v>
      </c>
      <c r="J170" t="s">
        <v>6</v>
      </c>
    </row>
    <row r="171" spans="8:10" x14ac:dyDescent="0.25">
      <c r="H171" s="17">
        <f t="shared" si="13"/>
        <v>6.5973445725385913</v>
      </c>
      <c r="I171" s="18">
        <f t="shared" si="12"/>
        <v>137</v>
      </c>
      <c r="J171" t="s">
        <v>6</v>
      </c>
    </row>
    <row r="172" spans="8:10" x14ac:dyDescent="0.25">
      <c r="H172" s="17">
        <f t="shared" si="13"/>
        <v>6.6366144807084639</v>
      </c>
      <c r="I172" s="18">
        <f t="shared" si="12"/>
        <v>138</v>
      </c>
      <c r="J172" t="s">
        <v>6</v>
      </c>
    </row>
    <row r="173" spans="8:10" x14ac:dyDescent="0.25">
      <c r="H173" s="17">
        <f t="shared" si="13"/>
        <v>6.6758843888783366</v>
      </c>
      <c r="I173" s="18">
        <f t="shared" si="12"/>
        <v>139</v>
      </c>
      <c r="J173" t="s">
        <v>6</v>
      </c>
    </row>
    <row r="174" spans="8:10" x14ac:dyDescent="0.25">
      <c r="H174" s="17">
        <f t="shared" si="13"/>
        <v>6.7151542970482092</v>
      </c>
      <c r="I174" s="18">
        <f t="shared" si="12"/>
        <v>140</v>
      </c>
      <c r="J174" t="s">
        <v>6</v>
      </c>
    </row>
    <row r="175" spans="8:10" x14ac:dyDescent="0.25">
      <c r="H175" s="17">
        <f t="shared" si="13"/>
        <v>6.7544242052180818</v>
      </c>
      <c r="I175" s="18">
        <f t="shared" si="12"/>
        <v>142</v>
      </c>
      <c r="J175" t="s">
        <v>6</v>
      </c>
    </row>
    <row r="176" spans="8:10" x14ac:dyDescent="0.25">
      <c r="H176" s="17">
        <f t="shared" si="13"/>
        <v>6.7936941133879545</v>
      </c>
      <c r="I176" s="18">
        <f t="shared" si="12"/>
        <v>143</v>
      </c>
      <c r="J176" t="s">
        <v>6</v>
      </c>
    </row>
    <row r="177" spans="8:10" x14ac:dyDescent="0.25">
      <c r="H177" s="17">
        <f t="shared" si="13"/>
        <v>6.8329640215578271</v>
      </c>
      <c r="I177" s="18">
        <f t="shared" si="12"/>
        <v>144</v>
      </c>
      <c r="J177" t="s">
        <v>6</v>
      </c>
    </row>
    <row r="178" spans="8:10" x14ac:dyDescent="0.25">
      <c r="H178" s="17">
        <f t="shared" si="13"/>
        <v>6.8722339297276998</v>
      </c>
      <c r="I178" s="18">
        <f t="shared" si="12"/>
        <v>145</v>
      </c>
      <c r="J178" t="s">
        <v>6</v>
      </c>
    </row>
    <row r="179" spans="8:10" x14ac:dyDescent="0.25">
      <c r="H179" s="17">
        <f t="shared" si="13"/>
        <v>6.9115038378975724</v>
      </c>
      <c r="I179" s="18">
        <f t="shared" si="12"/>
        <v>146</v>
      </c>
      <c r="J179" t="s">
        <v>6</v>
      </c>
    </row>
    <row r="180" spans="8:10" x14ac:dyDescent="0.25">
      <c r="H180" s="17">
        <f t="shared" si="13"/>
        <v>6.950773746067445</v>
      </c>
      <c r="I180" s="18">
        <f t="shared" si="12"/>
        <v>147</v>
      </c>
      <c r="J180" t="s">
        <v>6</v>
      </c>
    </row>
    <row r="181" spans="8:10" x14ac:dyDescent="0.25">
      <c r="H181" s="17">
        <f t="shared" si="13"/>
        <v>6.9900436542373177</v>
      </c>
      <c r="I181" s="18">
        <f t="shared" si="12"/>
        <v>148</v>
      </c>
      <c r="J181" t="s">
        <v>6</v>
      </c>
    </row>
    <row r="182" spans="8:10" x14ac:dyDescent="0.25">
      <c r="H182" s="17">
        <f t="shared" si="13"/>
        <v>7.0293135624071903</v>
      </c>
      <c r="I182" s="18">
        <f t="shared" si="12"/>
        <v>149</v>
      </c>
      <c r="J182" t="s">
        <v>6</v>
      </c>
    </row>
    <row r="183" spans="8:10" x14ac:dyDescent="0.25">
      <c r="H183" s="17">
        <f t="shared" si="13"/>
        <v>7.0685834705770629</v>
      </c>
      <c r="I183" s="18">
        <f t="shared" si="12"/>
        <v>150</v>
      </c>
      <c r="J183" t="s">
        <v>6</v>
      </c>
    </row>
    <row r="184" spans="8:10" x14ac:dyDescent="0.25">
      <c r="H184" s="17">
        <f t="shared" si="13"/>
        <v>7.1078533787469356</v>
      </c>
      <c r="I184" s="18">
        <f t="shared" si="12"/>
        <v>150</v>
      </c>
      <c r="J184" t="s">
        <v>6</v>
      </c>
    </row>
    <row r="185" spans="8:10" x14ac:dyDescent="0.25">
      <c r="H185" s="17">
        <f t="shared" si="13"/>
        <v>7.1471232869168082</v>
      </c>
      <c r="I185" s="18">
        <f t="shared" si="12"/>
        <v>151</v>
      </c>
      <c r="J185" t="s">
        <v>6</v>
      </c>
    </row>
    <row r="186" spans="8:10" x14ac:dyDescent="0.25">
      <c r="H186" s="17">
        <f t="shared" si="13"/>
        <v>7.1863931950866808</v>
      </c>
      <c r="I186" s="18">
        <f t="shared" si="12"/>
        <v>152</v>
      </c>
      <c r="J186" t="s">
        <v>6</v>
      </c>
    </row>
    <row r="187" spans="8:10" x14ac:dyDescent="0.25">
      <c r="H187" s="17">
        <f t="shared" si="13"/>
        <v>7.2256631032565535</v>
      </c>
      <c r="I187" s="18">
        <f t="shared" si="12"/>
        <v>153</v>
      </c>
      <c r="J187" t="s">
        <v>6</v>
      </c>
    </row>
    <row r="188" spans="8:10" x14ac:dyDescent="0.25">
      <c r="H188" s="17">
        <f t="shared" si="13"/>
        <v>7.2649330114264261</v>
      </c>
      <c r="I188" s="18">
        <f t="shared" si="12"/>
        <v>154</v>
      </c>
      <c r="J188" t="s">
        <v>6</v>
      </c>
    </row>
    <row r="189" spans="8:10" x14ac:dyDescent="0.25">
      <c r="H189" s="17">
        <f t="shared" si="13"/>
        <v>7.3042029195962987</v>
      </c>
      <c r="I189" s="18">
        <f t="shared" si="12"/>
        <v>154</v>
      </c>
      <c r="J189" t="s">
        <v>6</v>
      </c>
    </row>
    <row r="190" spans="8:10" x14ac:dyDescent="0.25">
      <c r="H190" s="17">
        <f t="shared" si="13"/>
        <v>7.3434728277661714</v>
      </c>
      <c r="I190" s="18">
        <f t="shared" si="12"/>
        <v>155</v>
      </c>
      <c r="J190" t="s">
        <v>6</v>
      </c>
    </row>
    <row r="191" spans="8:10" x14ac:dyDescent="0.25">
      <c r="H191" s="17">
        <f t="shared" si="13"/>
        <v>7.382742735936044</v>
      </c>
      <c r="I191" s="18">
        <f t="shared" si="12"/>
        <v>156</v>
      </c>
      <c r="J191" t="s">
        <v>6</v>
      </c>
    </row>
    <row r="192" spans="8:10" x14ac:dyDescent="0.25">
      <c r="H192" s="17">
        <f t="shared" si="13"/>
        <v>7.4220126441059167</v>
      </c>
      <c r="I192" s="18">
        <f t="shared" si="12"/>
        <v>156</v>
      </c>
      <c r="J192" t="s">
        <v>6</v>
      </c>
    </row>
    <row r="193" spans="8:10" x14ac:dyDescent="0.25">
      <c r="H193" s="17">
        <f t="shared" si="13"/>
        <v>7.4612825522757893</v>
      </c>
      <c r="I193" s="18">
        <f t="shared" si="12"/>
        <v>157</v>
      </c>
      <c r="J193" t="s">
        <v>6</v>
      </c>
    </row>
    <row r="194" spans="8:10" x14ac:dyDescent="0.25">
      <c r="H194" s="17">
        <f t="shared" si="13"/>
        <v>7.5005524604456619</v>
      </c>
      <c r="I194" s="18">
        <f t="shared" si="12"/>
        <v>157</v>
      </c>
      <c r="J194" t="s">
        <v>6</v>
      </c>
    </row>
    <row r="195" spans="8:10" x14ac:dyDescent="0.25">
      <c r="H195" s="17">
        <f t="shared" si="13"/>
        <v>7.5398223686155346</v>
      </c>
      <c r="I195" s="18">
        <f t="shared" si="12"/>
        <v>157</v>
      </c>
      <c r="J195" t="s">
        <v>6</v>
      </c>
    </row>
    <row r="196" spans="8:10" x14ac:dyDescent="0.25">
      <c r="H196" s="17">
        <f t="shared" si="13"/>
        <v>7.5790922767854072</v>
      </c>
      <c r="I196" s="18">
        <f t="shared" si="12"/>
        <v>158</v>
      </c>
      <c r="J196" t="s">
        <v>6</v>
      </c>
    </row>
    <row r="197" spans="8:10" x14ac:dyDescent="0.25">
      <c r="H197" s="17">
        <f t="shared" si="13"/>
        <v>7.6183621849552798</v>
      </c>
      <c r="I197" s="18">
        <f t="shared" ref="I197:I259" si="14">ROUND(SIN(H197)*$L$2+$L$1,0)</f>
        <v>158</v>
      </c>
      <c r="J197" t="s">
        <v>6</v>
      </c>
    </row>
    <row r="198" spans="8:10" x14ac:dyDescent="0.25">
      <c r="H198" s="17">
        <f t="shared" ref="H198:H259" si="15">H197+$I$2</f>
        <v>7.6576320931251525</v>
      </c>
      <c r="I198" s="18">
        <f t="shared" si="14"/>
        <v>158</v>
      </c>
      <c r="J198" t="s">
        <v>6</v>
      </c>
    </row>
    <row r="199" spans="8:10" x14ac:dyDescent="0.25">
      <c r="H199" s="17">
        <f t="shared" si="15"/>
        <v>7.6969020012950251</v>
      </c>
      <c r="I199" s="18">
        <f t="shared" si="14"/>
        <v>159</v>
      </c>
      <c r="J199" t="s">
        <v>6</v>
      </c>
    </row>
    <row r="200" spans="8:10" x14ac:dyDescent="0.25">
      <c r="H200" s="17">
        <f t="shared" si="15"/>
        <v>7.7361719094648977</v>
      </c>
      <c r="I200" s="18">
        <f t="shared" si="14"/>
        <v>159</v>
      </c>
      <c r="J200" t="s">
        <v>6</v>
      </c>
    </row>
    <row r="201" spans="8:10" x14ac:dyDescent="0.25">
      <c r="H201" s="17">
        <f t="shared" si="15"/>
        <v>7.7754418176347704</v>
      </c>
      <c r="I201" s="18">
        <f t="shared" si="14"/>
        <v>159</v>
      </c>
      <c r="J201" t="s">
        <v>6</v>
      </c>
    </row>
    <row r="202" spans="8:10" x14ac:dyDescent="0.25">
      <c r="H202" s="17">
        <f t="shared" si="15"/>
        <v>7.814711725804643</v>
      </c>
      <c r="I202" s="18">
        <f t="shared" si="14"/>
        <v>159</v>
      </c>
      <c r="J202" t="s">
        <v>6</v>
      </c>
    </row>
    <row r="203" spans="8:10" x14ac:dyDescent="0.25">
      <c r="H203" s="17">
        <f t="shared" si="15"/>
        <v>7.8539816339745157</v>
      </c>
      <c r="I203" s="18">
        <f t="shared" si="14"/>
        <v>159</v>
      </c>
      <c r="J203" t="s">
        <v>6</v>
      </c>
    </row>
    <row r="204" spans="8:10" x14ac:dyDescent="0.25">
      <c r="H204" s="17">
        <f t="shared" si="15"/>
        <v>7.8932515421443883</v>
      </c>
      <c r="I204" s="18">
        <f t="shared" si="14"/>
        <v>159</v>
      </c>
      <c r="J204" t="s">
        <v>6</v>
      </c>
    </row>
    <row r="205" spans="8:10" x14ac:dyDescent="0.25">
      <c r="H205" s="17">
        <f t="shared" si="15"/>
        <v>7.9325214503142609</v>
      </c>
      <c r="I205" s="18">
        <f t="shared" si="14"/>
        <v>159</v>
      </c>
      <c r="J205" t="s">
        <v>6</v>
      </c>
    </row>
    <row r="206" spans="8:10" x14ac:dyDescent="0.25">
      <c r="H206" s="17">
        <f t="shared" si="15"/>
        <v>7.9717913584841336</v>
      </c>
      <c r="I206" s="18">
        <f t="shared" si="14"/>
        <v>159</v>
      </c>
      <c r="J206" t="s">
        <v>6</v>
      </c>
    </row>
    <row r="207" spans="8:10" x14ac:dyDescent="0.25">
      <c r="H207" s="17">
        <f t="shared" si="15"/>
        <v>8.0110612666540053</v>
      </c>
      <c r="I207" s="18">
        <f t="shared" si="14"/>
        <v>159</v>
      </c>
      <c r="J207" t="s">
        <v>6</v>
      </c>
    </row>
    <row r="208" spans="8:10" x14ac:dyDescent="0.25">
      <c r="H208" s="17">
        <f t="shared" si="15"/>
        <v>8.0503311748238779</v>
      </c>
      <c r="I208" s="18">
        <f t="shared" si="14"/>
        <v>158</v>
      </c>
      <c r="J208" t="s">
        <v>6</v>
      </c>
    </row>
    <row r="209" spans="8:10" x14ac:dyDescent="0.25">
      <c r="H209" s="17">
        <f t="shared" si="15"/>
        <v>8.0896010829937506</v>
      </c>
      <c r="I209" s="18">
        <f t="shared" si="14"/>
        <v>158</v>
      </c>
      <c r="J209" t="s">
        <v>6</v>
      </c>
    </row>
    <row r="210" spans="8:10" x14ac:dyDescent="0.25">
      <c r="H210" s="17">
        <f t="shared" si="15"/>
        <v>8.1288709911636232</v>
      </c>
      <c r="I210" s="18">
        <f t="shared" si="14"/>
        <v>158</v>
      </c>
      <c r="J210" t="s">
        <v>6</v>
      </c>
    </row>
    <row r="211" spans="8:10" x14ac:dyDescent="0.25">
      <c r="H211" s="17">
        <f t="shared" si="15"/>
        <v>8.1681408993334959</v>
      </c>
      <c r="I211" s="18">
        <f t="shared" si="14"/>
        <v>157</v>
      </c>
      <c r="J211" t="s">
        <v>6</v>
      </c>
    </row>
    <row r="212" spans="8:10" x14ac:dyDescent="0.25">
      <c r="H212" s="17">
        <f t="shared" si="15"/>
        <v>8.2074108075033685</v>
      </c>
      <c r="I212" s="18">
        <f t="shared" si="14"/>
        <v>157</v>
      </c>
      <c r="J212" t="s">
        <v>6</v>
      </c>
    </row>
    <row r="213" spans="8:10" x14ac:dyDescent="0.25">
      <c r="H213" s="17">
        <f t="shared" si="15"/>
        <v>8.2466807156732411</v>
      </c>
      <c r="I213" s="18">
        <f t="shared" si="14"/>
        <v>157</v>
      </c>
      <c r="J213" t="s">
        <v>6</v>
      </c>
    </row>
    <row r="214" spans="8:10" x14ac:dyDescent="0.25">
      <c r="H214" s="17">
        <f t="shared" si="15"/>
        <v>8.2859506238431138</v>
      </c>
      <c r="I214" s="18">
        <f t="shared" si="14"/>
        <v>156</v>
      </c>
      <c r="J214" t="s">
        <v>6</v>
      </c>
    </row>
    <row r="215" spans="8:10" x14ac:dyDescent="0.25">
      <c r="H215" s="17">
        <f t="shared" si="15"/>
        <v>8.3252205320129864</v>
      </c>
      <c r="I215" s="18">
        <f t="shared" si="14"/>
        <v>156</v>
      </c>
      <c r="J215" t="s">
        <v>6</v>
      </c>
    </row>
    <row r="216" spans="8:10" x14ac:dyDescent="0.25">
      <c r="H216" s="17">
        <f t="shared" si="15"/>
        <v>8.364490440182859</v>
      </c>
      <c r="I216" s="18">
        <f t="shared" si="14"/>
        <v>155</v>
      </c>
      <c r="J216" t="s">
        <v>6</v>
      </c>
    </row>
    <row r="217" spans="8:10" x14ac:dyDescent="0.25">
      <c r="H217" s="17">
        <f t="shared" si="15"/>
        <v>8.4037603483527317</v>
      </c>
      <c r="I217" s="18">
        <f t="shared" si="14"/>
        <v>154</v>
      </c>
      <c r="J217" t="s">
        <v>6</v>
      </c>
    </row>
    <row r="218" spans="8:10" x14ac:dyDescent="0.25">
      <c r="H218" s="17">
        <f t="shared" si="15"/>
        <v>8.4430302565226043</v>
      </c>
      <c r="I218" s="18">
        <f t="shared" si="14"/>
        <v>154</v>
      </c>
      <c r="J218" t="s">
        <v>6</v>
      </c>
    </row>
    <row r="219" spans="8:10" x14ac:dyDescent="0.25">
      <c r="H219" s="17">
        <f t="shared" si="15"/>
        <v>8.4823001646924769</v>
      </c>
      <c r="I219" s="18">
        <f t="shared" si="14"/>
        <v>153</v>
      </c>
      <c r="J219" t="s">
        <v>6</v>
      </c>
    </row>
    <row r="220" spans="8:10" x14ac:dyDescent="0.25">
      <c r="H220" s="17">
        <f t="shared" si="15"/>
        <v>8.5215700728623496</v>
      </c>
      <c r="I220" s="18">
        <f t="shared" si="14"/>
        <v>152</v>
      </c>
      <c r="J220" t="s">
        <v>6</v>
      </c>
    </row>
    <row r="221" spans="8:10" x14ac:dyDescent="0.25">
      <c r="H221" s="17">
        <f t="shared" si="15"/>
        <v>8.5608399810322222</v>
      </c>
      <c r="I221" s="18">
        <f t="shared" si="14"/>
        <v>151</v>
      </c>
      <c r="J221" t="s">
        <v>6</v>
      </c>
    </row>
    <row r="222" spans="8:10" x14ac:dyDescent="0.25">
      <c r="H222" s="17">
        <f t="shared" si="15"/>
        <v>8.6001098892020948</v>
      </c>
      <c r="I222" s="18">
        <f t="shared" si="14"/>
        <v>150</v>
      </c>
      <c r="J222" t="s">
        <v>6</v>
      </c>
    </row>
    <row r="223" spans="8:10" x14ac:dyDescent="0.25">
      <c r="H223" s="17">
        <f t="shared" si="15"/>
        <v>8.6393797973719675</v>
      </c>
      <c r="I223" s="18">
        <f t="shared" si="14"/>
        <v>150</v>
      </c>
      <c r="J223" t="s">
        <v>6</v>
      </c>
    </row>
    <row r="224" spans="8:10" x14ac:dyDescent="0.25">
      <c r="H224" s="17">
        <f t="shared" si="15"/>
        <v>8.6786497055418401</v>
      </c>
      <c r="I224" s="18">
        <f t="shared" si="14"/>
        <v>149</v>
      </c>
      <c r="J224" t="s">
        <v>6</v>
      </c>
    </row>
    <row r="225" spans="8:10" x14ac:dyDescent="0.25">
      <c r="H225" s="17">
        <f t="shared" si="15"/>
        <v>8.7179196137117128</v>
      </c>
      <c r="I225" s="18">
        <f t="shared" si="14"/>
        <v>148</v>
      </c>
      <c r="J225" t="s">
        <v>6</v>
      </c>
    </row>
    <row r="226" spans="8:10" x14ac:dyDescent="0.25">
      <c r="H226" s="17">
        <f t="shared" si="15"/>
        <v>8.7571895218815854</v>
      </c>
      <c r="I226" s="18">
        <f t="shared" si="14"/>
        <v>147</v>
      </c>
      <c r="J226" t="s">
        <v>6</v>
      </c>
    </row>
    <row r="227" spans="8:10" x14ac:dyDescent="0.25">
      <c r="H227" s="17">
        <f t="shared" si="15"/>
        <v>8.796459430051458</v>
      </c>
      <c r="I227" s="18">
        <f t="shared" si="14"/>
        <v>146</v>
      </c>
      <c r="J227" t="s">
        <v>6</v>
      </c>
    </row>
    <row r="228" spans="8:10" x14ac:dyDescent="0.25">
      <c r="H228" s="17">
        <f t="shared" si="15"/>
        <v>8.8357293382213307</v>
      </c>
      <c r="I228" s="18">
        <f t="shared" si="14"/>
        <v>145</v>
      </c>
      <c r="J228" t="s">
        <v>6</v>
      </c>
    </row>
    <row r="229" spans="8:10" x14ac:dyDescent="0.25">
      <c r="H229" s="17">
        <f t="shared" si="15"/>
        <v>8.8749992463912033</v>
      </c>
      <c r="I229" s="18">
        <f t="shared" si="14"/>
        <v>144</v>
      </c>
      <c r="J229" t="s">
        <v>6</v>
      </c>
    </row>
    <row r="230" spans="8:10" x14ac:dyDescent="0.25">
      <c r="H230" s="17">
        <f t="shared" si="15"/>
        <v>8.9142691545610759</v>
      </c>
      <c r="I230" s="18">
        <f t="shared" si="14"/>
        <v>143</v>
      </c>
      <c r="J230" t="s">
        <v>6</v>
      </c>
    </row>
    <row r="231" spans="8:10" x14ac:dyDescent="0.25">
      <c r="H231" s="17">
        <f t="shared" si="15"/>
        <v>8.9535390627309486</v>
      </c>
      <c r="I231" s="18">
        <f t="shared" si="14"/>
        <v>142</v>
      </c>
      <c r="J231" t="s">
        <v>6</v>
      </c>
    </row>
    <row r="232" spans="8:10" x14ac:dyDescent="0.25">
      <c r="H232" s="17">
        <f t="shared" si="15"/>
        <v>8.9928089709008212</v>
      </c>
      <c r="I232" s="18">
        <f t="shared" si="14"/>
        <v>140</v>
      </c>
      <c r="J232" t="s">
        <v>6</v>
      </c>
    </row>
    <row r="233" spans="8:10" x14ac:dyDescent="0.25">
      <c r="H233" s="17">
        <f t="shared" si="15"/>
        <v>9.0320788790706938</v>
      </c>
      <c r="I233" s="18">
        <f t="shared" si="14"/>
        <v>139</v>
      </c>
      <c r="J233" t="s">
        <v>6</v>
      </c>
    </row>
    <row r="234" spans="8:10" x14ac:dyDescent="0.25">
      <c r="H234" s="17">
        <f t="shared" si="15"/>
        <v>9.0713487872405665</v>
      </c>
      <c r="I234" s="18">
        <f t="shared" si="14"/>
        <v>138</v>
      </c>
      <c r="J234" t="s">
        <v>6</v>
      </c>
    </row>
    <row r="235" spans="8:10" x14ac:dyDescent="0.25">
      <c r="H235" s="17">
        <f t="shared" si="15"/>
        <v>9.1106186954104391</v>
      </c>
      <c r="I235" s="18">
        <f t="shared" si="14"/>
        <v>137</v>
      </c>
      <c r="J235" t="s">
        <v>6</v>
      </c>
    </row>
    <row r="236" spans="8:10" x14ac:dyDescent="0.25">
      <c r="H236" s="17">
        <f t="shared" si="15"/>
        <v>9.1498886035803118</v>
      </c>
      <c r="I236" s="18">
        <f t="shared" si="14"/>
        <v>136</v>
      </c>
      <c r="J236" t="s">
        <v>6</v>
      </c>
    </row>
    <row r="237" spans="8:10" x14ac:dyDescent="0.25">
      <c r="H237" s="17">
        <f t="shared" si="15"/>
        <v>9.1891585117501844</v>
      </c>
      <c r="I237" s="18">
        <f t="shared" si="14"/>
        <v>134</v>
      </c>
      <c r="J237" t="s">
        <v>6</v>
      </c>
    </row>
    <row r="238" spans="8:10" x14ac:dyDescent="0.25">
      <c r="H238" s="17">
        <f t="shared" si="15"/>
        <v>9.228428419920057</v>
      </c>
      <c r="I238" s="18">
        <f t="shared" si="14"/>
        <v>133</v>
      </c>
      <c r="J238" t="s">
        <v>6</v>
      </c>
    </row>
    <row r="239" spans="8:10" x14ac:dyDescent="0.25">
      <c r="H239" s="17">
        <f t="shared" si="15"/>
        <v>9.2676983280899297</v>
      </c>
      <c r="I239" s="18">
        <f t="shared" si="14"/>
        <v>132</v>
      </c>
      <c r="J239" t="s">
        <v>6</v>
      </c>
    </row>
    <row r="240" spans="8:10" x14ac:dyDescent="0.25">
      <c r="H240" s="17">
        <f t="shared" si="15"/>
        <v>9.3069682362598023</v>
      </c>
      <c r="I240" s="18">
        <f t="shared" si="14"/>
        <v>131</v>
      </c>
      <c r="J240" t="s">
        <v>6</v>
      </c>
    </row>
    <row r="241" spans="8:10" x14ac:dyDescent="0.25">
      <c r="H241" s="17">
        <f t="shared" si="15"/>
        <v>9.3462381444296749</v>
      </c>
      <c r="I241" s="18">
        <f t="shared" si="14"/>
        <v>130</v>
      </c>
      <c r="J241" t="s">
        <v>6</v>
      </c>
    </row>
    <row r="242" spans="8:10" x14ac:dyDescent="0.25">
      <c r="H242" s="17">
        <f t="shared" si="15"/>
        <v>9.3855080525995476</v>
      </c>
      <c r="I242" s="18">
        <f t="shared" si="14"/>
        <v>128</v>
      </c>
      <c r="J242" t="s">
        <v>6</v>
      </c>
    </row>
    <row r="243" spans="8:10" x14ac:dyDescent="0.25">
      <c r="H243" s="17">
        <f t="shared" si="15"/>
        <v>9.4247779607694202</v>
      </c>
      <c r="I243" s="18">
        <f t="shared" si="14"/>
        <v>127</v>
      </c>
      <c r="J243" t="s">
        <v>6</v>
      </c>
    </row>
    <row r="244" spans="8:10" x14ac:dyDescent="0.25">
      <c r="H244" s="17">
        <f t="shared" si="15"/>
        <v>9.4640478689392928</v>
      </c>
      <c r="I244" s="18">
        <f t="shared" si="14"/>
        <v>126</v>
      </c>
      <c r="J244" t="s">
        <v>6</v>
      </c>
    </row>
    <row r="245" spans="8:10" x14ac:dyDescent="0.25">
      <c r="H245" s="17">
        <f t="shared" si="15"/>
        <v>9.5033177771091655</v>
      </c>
      <c r="I245" s="18">
        <f t="shared" si="14"/>
        <v>124</v>
      </c>
      <c r="J245" t="s">
        <v>6</v>
      </c>
    </row>
    <row r="246" spans="8:10" x14ac:dyDescent="0.25">
      <c r="H246" s="17">
        <f t="shared" si="15"/>
        <v>9.5425876852790381</v>
      </c>
      <c r="I246" s="18">
        <f t="shared" si="14"/>
        <v>123</v>
      </c>
      <c r="J246" t="s">
        <v>6</v>
      </c>
    </row>
    <row r="247" spans="8:10" x14ac:dyDescent="0.25">
      <c r="H247" s="17">
        <f t="shared" si="15"/>
        <v>9.5818575934489107</v>
      </c>
      <c r="I247" s="18">
        <f t="shared" si="14"/>
        <v>122</v>
      </c>
      <c r="J247" t="s">
        <v>6</v>
      </c>
    </row>
    <row r="248" spans="8:10" x14ac:dyDescent="0.25">
      <c r="H248" s="17">
        <f t="shared" si="15"/>
        <v>9.6211275016187834</v>
      </c>
      <c r="I248" s="18">
        <f t="shared" si="14"/>
        <v>121</v>
      </c>
      <c r="J248" t="s">
        <v>6</v>
      </c>
    </row>
    <row r="249" spans="8:10" x14ac:dyDescent="0.25">
      <c r="H249" s="17">
        <f t="shared" si="15"/>
        <v>9.660397409788656</v>
      </c>
      <c r="I249" s="18">
        <f t="shared" si="14"/>
        <v>120</v>
      </c>
      <c r="J249" t="s">
        <v>6</v>
      </c>
    </row>
    <row r="250" spans="8:10" x14ac:dyDescent="0.25">
      <c r="H250" s="17">
        <f t="shared" si="15"/>
        <v>9.6996673179585287</v>
      </c>
      <c r="I250" s="18">
        <f t="shared" si="14"/>
        <v>118</v>
      </c>
      <c r="J250" t="s">
        <v>6</v>
      </c>
    </row>
    <row r="251" spans="8:10" x14ac:dyDescent="0.25">
      <c r="H251" s="17">
        <f t="shared" si="15"/>
        <v>9.7389372261284013</v>
      </c>
      <c r="I251" s="18">
        <f t="shared" si="14"/>
        <v>117</v>
      </c>
      <c r="J251" t="s">
        <v>6</v>
      </c>
    </row>
    <row r="252" spans="8:10" x14ac:dyDescent="0.25">
      <c r="H252" s="17">
        <f t="shared" si="15"/>
        <v>9.7782071342982739</v>
      </c>
      <c r="I252" s="18">
        <f t="shared" si="14"/>
        <v>116</v>
      </c>
      <c r="J252" t="s">
        <v>6</v>
      </c>
    </row>
    <row r="253" spans="8:10" x14ac:dyDescent="0.25">
      <c r="H253" s="17">
        <f t="shared" si="15"/>
        <v>9.8174770424681466</v>
      </c>
      <c r="I253" s="18">
        <f t="shared" si="14"/>
        <v>115</v>
      </c>
      <c r="J253" t="s">
        <v>6</v>
      </c>
    </row>
    <row r="254" spans="8:10" x14ac:dyDescent="0.25">
      <c r="H254" s="17">
        <f t="shared" si="15"/>
        <v>9.8567469506380192</v>
      </c>
      <c r="I254" s="18">
        <f t="shared" si="14"/>
        <v>114</v>
      </c>
      <c r="J254" t="s">
        <v>6</v>
      </c>
    </row>
    <row r="255" spans="8:10" x14ac:dyDescent="0.25">
      <c r="H255" s="17">
        <f t="shared" si="15"/>
        <v>9.8960168588078918</v>
      </c>
      <c r="I255" s="18">
        <f t="shared" si="14"/>
        <v>112</v>
      </c>
      <c r="J255" t="s">
        <v>6</v>
      </c>
    </row>
    <row r="256" spans="8:10" x14ac:dyDescent="0.25">
      <c r="H256" s="17">
        <f t="shared" si="15"/>
        <v>9.9352867669777645</v>
      </c>
      <c r="I256" s="18">
        <f t="shared" si="14"/>
        <v>111</v>
      </c>
      <c r="J256" t="s">
        <v>6</v>
      </c>
    </row>
    <row r="257" spans="8:10" x14ac:dyDescent="0.25">
      <c r="H257" s="17">
        <f t="shared" si="15"/>
        <v>9.9745566751476371</v>
      </c>
      <c r="I257" s="18">
        <f t="shared" si="14"/>
        <v>110</v>
      </c>
      <c r="J257" t="s">
        <v>6</v>
      </c>
    </row>
    <row r="258" spans="8:10" x14ac:dyDescent="0.25">
      <c r="H258" s="17">
        <f t="shared" si="15"/>
        <v>10.01382658331751</v>
      </c>
      <c r="I258" s="18">
        <f t="shared" si="14"/>
        <v>109</v>
      </c>
      <c r="J258" t="s">
        <v>6</v>
      </c>
    </row>
    <row r="259" spans="8:10" ht="15.75" thickBot="1" x14ac:dyDescent="0.3">
      <c r="H259" s="19">
        <f t="shared" si="15"/>
        <v>10.053096491487382</v>
      </c>
      <c r="I259" s="18">
        <f t="shared" si="14"/>
        <v>108</v>
      </c>
    </row>
    <row r="260" spans="8:10" ht="15.75" thickTop="1" x14ac:dyDescent="0.25"/>
  </sheetData>
  <mergeCells count="9">
    <mergeCell ref="H1:I1"/>
    <mergeCell ref="D6:G6"/>
    <mergeCell ref="F41:G41"/>
    <mergeCell ref="D31:E31"/>
    <mergeCell ref="F31:G31"/>
    <mergeCell ref="D9:G9"/>
    <mergeCell ref="D19:G19"/>
    <mergeCell ref="D7:G8"/>
    <mergeCell ref="D30:G30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19D1-344E-44A1-A520-1A0606A5A6BC}">
  <dimension ref="B1:K48"/>
  <sheetViews>
    <sheetView workbookViewId="0">
      <selection activeCell="L51" sqref="L51"/>
    </sheetView>
  </sheetViews>
  <sheetFormatPr defaultRowHeight="15" x14ac:dyDescent="0.25"/>
  <cols>
    <col min="4" max="4" width="11" bestFit="1" customWidth="1"/>
    <col min="13" max="13" width="9.85546875" bestFit="1" customWidth="1"/>
  </cols>
  <sheetData>
    <row r="1" spans="2:10" x14ac:dyDescent="0.25">
      <c r="C1" t="s">
        <v>14</v>
      </c>
      <c r="D1">
        <v>10</v>
      </c>
    </row>
    <row r="2" spans="2:10" x14ac:dyDescent="0.25">
      <c r="C2" t="s">
        <v>24</v>
      </c>
      <c r="D2">
        <v>1</v>
      </c>
    </row>
    <row r="4" spans="2:10" x14ac:dyDescent="0.25">
      <c r="B4" s="37" t="s">
        <v>25</v>
      </c>
      <c r="C4" s="37"/>
      <c r="D4" s="37"/>
      <c r="E4" s="37"/>
      <c r="F4" s="37"/>
      <c r="G4" s="37"/>
      <c r="H4" s="37"/>
      <c r="I4" s="37"/>
      <c r="J4" s="37"/>
    </row>
    <row r="5" spans="2:10" x14ac:dyDescent="0.25">
      <c r="B5" s="10"/>
      <c r="C5" s="10"/>
      <c r="D5" s="37" t="s">
        <v>32</v>
      </c>
      <c r="E5" s="37"/>
      <c r="F5" s="37"/>
      <c r="G5" s="37"/>
      <c r="H5" s="37"/>
      <c r="I5" s="37"/>
      <c r="J5" s="37"/>
    </row>
    <row r="6" spans="2:10" x14ac:dyDescent="0.25">
      <c r="B6" s="10"/>
      <c r="C6" s="10"/>
      <c r="D6" s="20">
        <v>1.0000000000000001E-9</v>
      </c>
      <c r="E6" s="20">
        <v>9.9999999999999995E-8</v>
      </c>
      <c r="F6" s="20">
        <v>9.9999999999999995E-7</v>
      </c>
      <c r="G6" s="20">
        <v>1.0000000000000001E-5</v>
      </c>
      <c r="H6" s="20">
        <v>1E-3</v>
      </c>
      <c r="I6" s="10">
        <v>1</v>
      </c>
      <c r="J6" s="10">
        <v>100</v>
      </c>
    </row>
    <row r="7" spans="2:10" x14ac:dyDescent="0.25">
      <c r="B7" s="36" t="s">
        <v>33</v>
      </c>
      <c r="C7" s="23">
        <v>100</v>
      </c>
      <c r="D7" s="20">
        <f>2*PI()*$C7*D$6</f>
        <v>6.2831853071795864E-7</v>
      </c>
      <c r="E7" s="20">
        <f t="shared" ref="E7:J12" si="0">2*PI()*$C7*E$6</f>
        <v>6.2831853071795856E-5</v>
      </c>
      <c r="F7" s="20">
        <f t="shared" si="0"/>
        <v>6.2831853071795862E-4</v>
      </c>
      <c r="G7" s="20">
        <f t="shared" si="0"/>
        <v>6.2831853071795866E-3</v>
      </c>
      <c r="H7" s="20">
        <f t="shared" si="0"/>
        <v>0.62831853071795862</v>
      </c>
      <c r="I7" s="20">
        <f t="shared" si="0"/>
        <v>628.31853071795865</v>
      </c>
      <c r="J7" s="20">
        <f t="shared" si="0"/>
        <v>62831.853071795864</v>
      </c>
    </row>
    <row r="8" spans="2:10" x14ac:dyDescent="0.25">
      <c r="B8" s="36"/>
      <c r="C8" s="23">
        <v>500</v>
      </c>
      <c r="D8" s="20">
        <f t="shared" ref="D8:D12" si="1">2*PI()*$C8*D$6</f>
        <v>3.1415926535897929E-6</v>
      </c>
      <c r="E8" s="20">
        <f>2*PI()*$C8*E$6</f>
        <v>3.1415926535897925E-4</v>
      </c>
      <c r="F8" s="20">
        <f t="shared" si="0"/>
        <v>3.1415926535897929E-3</v>
      </c>
      <c r="G8" s="20">
        <f t="shared" si="0"/>
        <v>3.1415926535897934E-2</v>
      </c>
      <c r="H8" s="20">
        <f t="shared" si="0"/>
        <v>3.1415926535897931</v>
      </c>
      <c r="I8" s="20">
        <f t="shared" si="0"/>
        <v>3141.5926535897929</v>
      </c>
      <c r="J8" s="20">
        <f t="shared" si="0"/>
        <v>314159.26535897929</v>
      </c>
    </row>
    <row r="9" spans="2:10" x14ac:dyDescent="0.25">
      <c r="B9" s="36"/>
      <c r="C9" s="10">
        <v>1000</v>
      </c>
      <c r="D9" s="20">
        <f t="shared" si="1"/>
        <v>6.2831853071795858E-6</v>
      </c>
      <c r="E9" s="20">
        <f t="shared" si="0"/>
        <v>6.2831853071795851E-4</v>
      </c>
      <c r="F9" s="20">
        <f t="shared" si="0"/>
        <v>6.2831853071795857E-3</v>
      </c>
      <c r="G9" s="20">
        <f t="shared" si="0"/>
        <v>6.2831853071795868E-2</v>
      </c>
      <c r="H9" s="20">
        <f t="shared" si="0"/>
        <v>6.2831853071795862</v>
      </c>
      <c r="I9" s="20">
        <f t="shared" si="0"/>
        <v>6283.1853071795858</v>
      </c>
      <c r="J9" s="20">
        <f t="shared" si="0"/>
        <v>628318.53071795858</v>
      </c>
    </row>
    <row r="10" spans="2:10" x14ac:dyDescent="0.25">
      <c r="B10" s="36"/>
      <c r="C10" s="10">
        <v>5000</v>
      </c>
      <c r="D10" s="20">
        <f t="shared" si="1"/>
        <v>3.1415926535897935E-5</v>
      </c>
      <c r="E10" s="20">
        <f t="shared" si="0"/>
        <v>3.1415926535897929E-3</v>
      </c>
      <c r="F10" s="20">
        <f t="shared" si="0"/>
        <v>3.1415926535897934E-2</v>
      </c>
      <c r="G10" s="20">
        <f t="shared" si="0"/>
        <v>0.31415926535897937</v>
      </c>
      <c r="H10" s="20">
        <f>2*PI()*$C10*H$6</f>
        <v>31.415926535897931</v>
      </c>
      <c r="I10" s="20">
        <f t="shared" si="0"/>
        <v>31415.926535897932</v>
      </c>
      <c r="J10" s="20">
        <f t="shared" si="0"/>
        <v>3141592.653589793</v>
      </c>
    </row>
    <row r="11" spans="2:10" x14ac:dyDescent="0.25">
      <c r="B11" s="36"/>
      <c r="C11" s="10">
        <v>50000</v>
      </c>
      <c r="D11" s="20">
        <f t="shared" si="1"/>
        <v>3.1415926535897931E-4</v>
      </c>
      <c r="E11" s="20">
        <f t="shared" si="0"/>
        <v>3.1415926535897927E-2</v>
      </c>
      <c r="F11" s="20">
        <f t="shared" si="0"/>
        <v>0.31415926535897926</v>
      </c>
      <c r="G11" s="20">
        <f t="shared" si="0"/>
        <v>3.1415926535897931</v>
      </c>
      <c r="H11" s="20">
        <f t="shared" si="0"/>
        <v>314.15926535897927</v>
      </c>
      <c r="I11" s="20">
        <f t="shared" si="0"/>
        <v>314159.26535897929</v>
      </c>
      <c r="J11" s="20">
        <f t="shared" si="0"/>
        <v>31415926.535897929</v>
      </c>
    </row>
    <row r="12" spans="2:10" x14ac:dyDescent="0.25">
      <c r="B12" s="36"/>
      <c r="C12" s="10">
        <v>1000000</v>
      </c>
      <c r="D12" s="20">
        <f t="shared" si="1"/>
        <v>6.2831853071795866E-3</v>
      </c>
      <c r="E12" s="20">
        <f t="shared" si="0"/>
        <v>0.62831853071795862</v>
      </c>
      <c r="F12" s="20">
        <f t="shared" si="0"/>
        <v>6.2831853071795853</v>
      </c>
      <c r="G12" s="20">
        <f t="shared" si="0"/>
        <v>62.831853071795862</v>
      </c>
      <c r="H12" s="20">
        <f t="shared" si="0"/>
        <v>6283.1853071795858</v>
      </c>
      <c r="I12" s="20">
        <f t="shared" si="0"/>
        <v>6283185.307179586</v>
      </c>
      <c r="J12" s="20">
        <f t="shared" si="0"/>
        <v>628318530.71795857</v>
      </c>
    </row>
    <row r="15" spans="2:10" x14ac:dyDescent="0.25">
      <c r="C15" s="35" t="s">
        <v>26</v>
      </c>
      <c r="D15" s="10">
        <f>SQRT(D7^2+$D$1^2)</f>
        <v>10.00000000000002</v>
      </c>
      <c r="E15" s="10">
        <f t="shared" ref="E15:J15" si="2">SQRT(E7^2+$D$1^2)</f>
        <v>10.000000000197392</v>
      </c>
      <c r="F15" s="10">
        <f t="shared" si="2"/>
        <v>10.000000019739209</v>
      </c>
      <c r="G15" s="10">
        <f t="shared" si="2"/>
        <v>10.000001973920686</v>
      </c>
      <c r="H15" s="10">
        <f t="shared" si="2"/>
        <v>10.019719765344915</v>
      </c>
      <c r="I15" s="10">
        <f t="shared" si="2"/>
        <v>628.39810315084048</v>
      </c>
      <c r="J15" s="10">
        <f t="shared" si="2"/>
        <v>62831.853867570571</v>
      </c>
    </row>
    <row r="16" spans="2:10" x14ac:dyDescent="0.25">
      <c r="C16" s="35"/>
      <c r="D16" s="10">
        <f t="shared" ref="D16:J16" si="3">SQRT(D8^2+$D$1^2)</f>
        <v>10.000000000000494</v>
      </c>
      <c r="E16" s="10">
        <f t="shared" si="3"/>
        <v>10.000000004934803</v>
      </c>
      <c r="F16" s="10">
        <f t="shared" si="3"/>
        <v>10.000000493480208</v>
      </c>
      <c r="G16" s="10">
        <f t="shared" si="3"/>
        <v>10.000049347900244</v>
      </c>
      <c r="H16" s="10">
        <f t="shared" si="3"/>
        <v>10.481870272097884</v>
      </c>
      <c r="I16" s="10">
        <f t="shared" si="3"/>
        <v>3141.6085690437881</v>
      </c>
      <c r="J16" s="10">
        <f t="shared" si="3"/>
        <v>314159.26551813423</v>
      </c>
    </row>
    <row r="17" spans="3:11" x14ac:dyDescent="0.25">
      <c r="C17" s="35"/>
      <c r="D17" s="10">
        <f t="shared" ref="D17:J17" si="4">SQRT(D9^2+$D$1^2)</f>
        <v>10.000000000001974</v>
      </c>
      <c r="E17" s="10">
        <f t="shared" si="4"/>
        <v>10.000000019739209</v>
      </c>
      <c r="F17" s="10">
        <f t="shared" si="4"/>
        <v>10.000001973920686</v>
      </c>
      <c r="G17" s="10">
        <f t="shared" si="4"/>
        <v>10.000197390139878</v>
      </c>
      <c r="H17" s="10">
        <f t="shared" si="4"/>
        <v>11.810098120013967</v>
      </c>
      <c r="I17" s="10">
        <f t="shared" si="4"/>
        <v>6283.1932649217015</v>
      </c>
      <c r="J17" s="10">
        <f t="shared" si="4"/>
        <v>628318.53079753602</v>
      </c>
    </row>
    <row r="18" spans="3:11" x14ac:dyDescent="0.25">
      <c r="C18" s="35"/>
      <c r="D18" s="10">
        <f t="shared" ref="D18:J18" si="5">SQRT(D10^2+$D$1^2)</f>
        <v>10.000000000049347</v>
      </c>
      <c r="E18" s="10">
        <f t="shared" si="5"/>
        <v>10.000000493480208</v>
      </c>
      <c r="F18" s="10">
        <f t="shared" si="5"/>
        <v>10.000049347900244</v>
      </c>
      <c r="G18" s="10">
        <f t="shared" si="5"/>
        <v>10.004933585187404</v>
      </c>
      <c r="H18" s="10">
        <f t="shared" si="5"/>
        <v>32.969083094756151</v>
      </c>
      <c r="I18" s="10">
        <f t="shared" si="5"/>
        <v>31415.928127447321</v>
      </c>
      <c r="J18" s="10">
        <f t="shared" si="5"/>
        <v>3141592.6536057084</v>
      </c>
    </row>
    <row r="19" spans="3:11" x14ac:dyDescent="0.25">
      <c r="C19" s="35"/>
      <c r="D19" s="10">
        <f t="shared" ref="D19:J19" si="6">SQRT(D11^2+$D$1^2)</f>
        <v>10.000000004934803</v>
      </c>
      <c r="E19" s="10">
        <f t="shared" si="6"/>
        <v>10.000049347900244</v>
      </c>
      <c r="F19" s="10">
        <f t="shared" si="6"/>
        <v>10.004933585187404</v>
      </c>
      <c r="G19" s="10">
        <f t="shared" si="6"/>
        <v>10.481870272097884</v>
      </c>
      <c r="H19" s="10">
        <f t="shared" si="6"/>
        <v>314.31838000806374</v>
      </c>
      <c r="I19" s="10">
        <f t="shared" si="6"/>
        <v>314159.26551813423</v>
      </c>
      <c r="J19" s="10">
        <f t="shared" si="6"/>
        <v>31415926.53589952</v>
      </c>
    </row>
    <row r="20" spans="3:11" x14ac:dyDescent="0.25">
      <c r="C20" s="35"/>
      <c r="D20" s="10">
        <f t="shared" ref="D20:J20" si="7">SQRT(D12^2+$D$1^2)</f>
        <v>10.000001973920686</v>
      </c>
      <c r="E20" s="10">
        <f t="shared" si="7"/>
        <v>10.019719765344915</v>
      </c>
      <c r="F20" s="10">
        <f t="shared" si="7"/>
        <v>11.810098120013967</v>
      </c>
      <c r="G20" s="10">
        <f t="shared" si="7"/>
        <v>63.622651315673281</v>
      </c>
      <c r="H20" s="10">
        <f t="shared" si="7"/>
        <v>6283.1932649217015</v>
      </c>
      <c r="I20" s="10">
        <f t="shared" si="7"/>
        <v>6283185.3071875442</v>
      </c>
      <c r="J20" s="10">
        <f t="shared" si="7"/>
        <v>628318530.71795869</v>
      </c>
    </row>
    <row r="23" spans="3:11" x14ac:dyDescent="0.25">
      <c r="C23" s="38" t="s">
        <v>19</v>
      </c>
      <c r="D23">
        <f>$D$2/D15</f>
        <v>9.9999999999999811E-2</v>
      </c>
      <c r="E23">
        <f t="shared" ref="E23:J23" si="8">$D$2/E15</f>
        <v>9.9999999998026071E-2</v>
      </c>
      <c r="F23">
        <f t="shared" si="8"/>
        <v>9.9999999802607903E-2</v>
      </c>
      <c r="G23">
        <f t="shared" si="8"/>
        <v>9.9999980260797039E-2</v>
      </c>
      <c r="H23">
        <f t="shared" si="8"/>
        <v>9.9803190450364496E-2</v>
      </c>
      <c r="I23">
        <f t="shared" si="8"/>
        <v>1.5913478971147695E-3</v>
      </c>
      <c r="J23">
        <f t="shared" si="8"/>
        <v>1.5915494107617447E-5</v>
      </c>
    </row>
    <row r="24" spans="3:11" x14ac:dyDescent="0.25">
      <c r="C24" s="38"/>
      <c r="D24">
        <f t="shared" ref="D24:J24" si="9">$D$2/D16</f>
        <v>9.9999999999995065E-2</v>
      </c>
      <c r="E24">
        <f t="shared" si="9"/>
        <v>9.9999999950651966E-2</v>
      </c>
      <c r="F24">
        <f t="shared" si="9"/>
        <v>9.9999995065198161E-2</v>
      </c>
      <c r="G24">
        <f t="shared" si="9"/>
        <v>9.9999506523432757E-2</v>
      </c>
      <c r="H24">
        <f t="shared" si="9"/>
        <v>9.5402821637846497E-2</v>
      </c>
      <c r="I24">
        <f t="shared" si="9"/>
        <v>3.1830827361932306E-4</v>
      </c>
      <c r="J24">
        <f t="shared" si="9"/>
        <v>3.1830988602253304E-6</v>
      </c>
    </row>
    <row r="25" spans="3:11" x14ac:dyDescent="0.25">
      <c r="C25" s="38"/>
      <c r="D25">
        <f t="shared" ref="D25:J25" si="10">$D$2/D17</f>
        <v>9.9999999999980271E-2</v>
      </c>
      <c r="E25">
        <f t="shared" si="10"/>
        <v>9.9999999802607903E-2</v>
      </c>
      <c r="F25">
        <f t="shared" si="10"/>
        <v>9.9999980260797039E-2</v>
      </c>
      <c r="G25">
        <f t="shared" si="10"/>
        <v>9.9998026137563326E-2</v>
      </c>
      <c r="H25">
        <f t="shared" si="10"/>
        <v>8.467330159648305E-2</v>
      </c>
      <c r="I25">
        <f t="shared" si="10"/>
        <v>1.5915474152018808E-4</v>
      </c>
      <c r="J25">
        <f t="shared" si="10"/>
        <v>1.5915494307173815E-6</v>
      </c>
    </row>
    <row r="26" spans="3:11" x14ac:dyDescent="0.25">
      <c r="C26" s="38"/>
      <c r="D26">
        <f t="shared" ref="D26:J26" si="11">$D$2/D18</f>
        <v>9.9999999999506525E-2</v>
      </c>
      <c r="E26">
        <f t="shared" si="11"/>
        <v>9.9999995065198161E-2</v>
      </c>
      <c r="F26">
        <f t="shared" si="11"/>
        <v>9.9999506523432757E-2</v>
      </c>
      <c r="G26">
        <f t="shared" si="11"/>
        <v>9.9950688476386204E-2</v>
      </c>
      <c r="H26">
        <f t="shared" si="11"/>
        <v>3.0331447105335287E-2</v>
      </c>
      <c r="I26">
        <f t="shared" si="11"/>
        <v>3.1830987005802472E-5</v>
      </c>
      <c r="J26">
        <f t="shared" si="11"/>
        <v>3.1830988618217811E-7</v>
      </c>
    </row>
    <row r="27" spans="3:11" x14ac:dyDescent="0.25">
      <c r="C27" s="38"/>
      <c r="D27">
        <f t="shared" ref="D27:J27" si="12">$D$2/D19</f>
        <v>9.9999999950651966E-2</v>
      </c>
      <c r="E27">
        <f t="shared" si="12"/>
        <v>9.9999506523432757E-2</v>
      </c>
      <c r="F27">
        <f t="shared" si="12"/>
        <v>9.9950688476386204E-2</v>
      </c>
      <c r="G27">
        <f t="shared" si="12"/>
        <v>9.5402821637846497E-2</v>
      </c>
      <c r="H27">
        <f t="shared" si="12"/>
        <v>3.1814875094938618E-3</v>
      </c>
      <c r="I27">
        <f t="shared" si="12"/>
        <v>3.1830988602253304E-6</v>
      </c>
      <c r="J27">
        <f t="shared" si="12"/>
        <v>3.183098861837746E-8</v>
      </c>
    </row>
    <row r="28" spans="3:11" x14ac:dyDescent="0.25">
      <c r="C28" s="38"/>
      <c r="D28">
        <f t="shared" ref="D28:I28" si="13">$D$2/D20</f>
        <v>9.9999980260797039E-2</v>
      </c>
      <c r="E28">
        <f t="shared" si="13"/>
        <v>9.9803190450364496E-2</v>
      </c>
      <c r="F28">
        <f t="shared" si="13"/>
        <v>8.467330159648305E-2</v>
      </c>
      <c r="G28">
        <f t="shared" si="13"/>
        <v>1.5717672547758986E-2</v>
      </c>
      <c r="H28">
        <f t="shared" si="13"/>
        <v>1.5915474152018808E-4</v>
      </c>
      <c r="I28">
        <f t="shared" si="13"/>
        <v>1.5915494309169375E-7</v>
      </c>
      <c r="J28">
        <f>$D$2/J20</f>
        <v>1.5915494309189533E-9</v>
      </c>
    </row>
    <row r="30" spans="3:11" x14ac:dyDescent="0.25">
      <c r="C30" s="39" t="s">
        <v>34</v>
      </c>
      <c r="D30" s="39"/>
      <c r="E30" s="39"/>
      <c r="F30" s="39"/>
      <c r="G30" s="39"/>
      <c r="H30" s="39"/>
      <c r="I30" s="39"/>
      <c r="J30" s="39"/>
    </row>
    <row r="31" spans="3:11" x14ac:dyDescent="0.25">
      <c r="C31" s="36" t="s">
        <v>27</v>
      </c>
      <c r="D31" s="10">
        <f>DEGREES(ATAN(D7/$D$1))</f>
        <v>3.5999999999999956E-6</v>
      </c>
      <c r="E31" s="10">
        <f>DEGREES(ATAN(E7/$D$1))</f>
        <v>3.599999999952626E-4</v>
      </c>
      <c r="F31" s="10">
        <f t="shared" ref="F31:J31" si="14">DEGREES(ATAN(F7/$D$1))</f>
        <v>3.5999999952625898E-3</v>
      </c>
      <c r="G31" s="10">
        <f t="shared" si="14"/>
        <v>3.5999995262591011E-2</v>
      </c>
      <c r="H31" s="23">
        <f t="shared" si="14"/>
        <v>3.5952737798681755</v>
      </c>
      <c r="I31" s="24">
        <f t="shared" si="14"/>
        <v>89.088186330386165</v>
      </c>
      <c r="J31" s="24">
        <f t="shared" si="14"/>
        <v>89.990881093549177</v>
      </c>
      <c r="K31" t="s">
        <v>36</v>
      </c>
    </row>
    <row r="32" spans="3:11" x14ac:dyDescent="0.25">
      <c r="C32" s="36"/>
      <c r="D32" s="10">
        <f t="shared" ref="D32:J32" si="15">DEGREES(ATAN(D8/$D$1))</f>
        <v>1.7999999999999408E-5</v>
      </c>
      <c r="E32" s="10">
        <f t="shared" si="15"/>
        <v>1.7999999994078235E-3</v>
      </c>
      <c r="F32" s="10">
        <f t="shared" si="15"/>
        <v>1.799999940782377E-2</v>
      </c>
      <c r="G32" s="10">
        <f t="shared" si="15"/>
        <v>0.17999940782724266</v>
      </c>
      <c r="H32" s="23">
        <f t="shared" si="15"/>
        <v>17.44059449051187</v>
      </c>
      <c r="I32" s="23">
        <f t="shared" si="15"/>
        <v>89.817622485398985</v>
      </c>
      <c r="J32" s="23">
        <f t="shared" si="15"/>
        <v>89.99817621869505</v>
      </c>
      <c r="K32" t="s">
        <v>35</v>
      </c>
    </row>
    <row r="33" spans="3:10" x14ac:dyDescent="0.25">
      <c r="C33" s="36"/>
      <c r="D33" s="10">
        <f t="shared" ref="D33:J33" si="16">DEGREES(ATAN(D9/$D$1))</f>
        <v>3.5999999999995258E-5</v>
      </c>
      <c r="E33" s="10">
        <f t="shared" si="16"/>
        <v>3.5999999952625898E-3</v>
      </c>
      <c r="F33" s="10">
        <f t="shared" si="16"/>
        <v>3.5999995262591011E-2</v>
      </c>
      <c r="G33" s="10">
        <f t="shared" si="16"/>
        <v>0.35999526270209958</v>
      </c>
      <c r="H33" s="24">
        <f t="shared" si="16"/>
        <v>32.141907635342058</v>
      </c>
      <c r="I33" s="24">
        <f t="shared" si="16"/>
        <v>89.908811011716651</v>
      </c>
      <c r="J33" s="24">
        <f t="shared" si="16"/>
        <v>89.999088109347298</v>
      </c>
    </row>
    <row r="34" spans="3:10" x14ac:dyDescent="0.25">
      <c r="C34" s="36"/>
      <c r="D34" s="10">
        <f t="shared" ref="D34:J34" si="17">DEGREES(ATAN(D10/$D$1))</f>
        <v>1.7999999999940782E-4</v>
      </c>
      <c r="E34" s="10">
        <f t="shared" si="17"/>
        <v>1.799999940782377E-2</v>
      </c>
      <c r="F34" s="10">
        <f t="shared" si="17"/>
        <v>0.17999940782724266</v>
      </c>
      <c r="G34" s="10">
        <f t="shared" si="17"/>
        <v>1.7994081741616377</v>
      </c>
      <c r="H34" s="24">
        <f t="shared" si="17"/>
        <v>72.343212848587143</v>
      </c>
      <c r="I34" s="24">
        <f t="shared" si="17"/>
        <v>89.981762187560349</v>
      </c>
      <c r="J34" s="24">
        <f t="shared" si="17"/>
        <v>89.99981762186944</v>
      </c>
    </row>
    <row r="35" spans="3:10" x14ac:dyDescent="0.25">
      <c r="C35" s="36"/>
      <c r="D35" s="10">
        <f t="shared" ref="D35:J35" si="18">DEGREES(ATAN(D11/$D$1))</f>
        <v>1.7999999994078235E-3</v>
      </c>
      <c r="E35" s="10">
        <f t="shared" si="18"/>
        <v>0.17999940782724264</v>
      </c>
      <c r="F35" s="10">
        <f t="shared" si="18"/>
        <v>1.7994081741616372</v>
      </c>
      <c r="G35" s="24">
        <f t="shared" si="18"/>
        <v>17.44059449051187</v>
      </c>
      <c r="H35" s="24">
        <f t="shared" si="18"/>
        <v>88.176834279185869</v>
      </c>
      <c r="I35" s="24">
        <f t="shared" si="18"/>
        <v>89.99817621869505</v>
      </c>
      <c r="J35" s="24">
        <f t="shared" si="18"/>
        <v>89.999981762186948</v>
      </c>
    </row>
    <row r="36" spans="3:10" x14ac:dyDescent="0.25">
      <c r="C36" s="36"/>
      <c r="D36" s="10">
        <f t="shared" ref="D36:J36" si="19">DEGREES(ATAN(D12/$D$1))</f>
        <v>3.5999995262591011E-2</v>
      </c>
      <c r="E36" s="10">
        <f t="shared" si="19"/>
        <v>3.5952737798681755</v>
      </c>
      <c r="F36" s="24">
        <f t="shared" si="19"/>
        <v>32.141907635342051</v>
      </c>
      <c r="G36" s="24">
        <f t="shared" si="19"/>
        <v>80.956938920962315</v>
      </c>
      <c r="H36" s="24">
        <f t="shared" si="19"/>
        <v>89.908811011716651</v>
      </c>
      <c r="I36" s="24">
        <f t="shared" si="19"/>
        <v>89.999908810934727</v>
      </c>
      <c r="J36" s="24">
        <f t="shared" si="19"/>
        <v>89.999999088109348</v>
      </c>
    </row>
    <row r="39" spans="3:10" x14ac:dyDescent="0.25">
      <c r="C39">
        <v>0.1</v>
      </c>
    </row>
    <row r="40" spans="3:10" x14ac:dyDescent="0.25">
      <c r="C40">
        <f>C39+0.1</f>
        <v>0.2</v>
      </c>
    </row>
    <row r="41" spans="3:10" x14ac:dyDescent="0.25">
      <c r="C41">
        <f t="shared" ref="C41:C47" si="20">C40+0.1</f>
        <v>0.30000000000000004</v>
      </c>
    </row>
    <row r="42" spans="3:10" x14ac:dyDescent="0.25">
      <c r="C42">
        <f t="shared" si="20"/>
        <v>0.4</v>
      </c>
    </row>
    <row r="43" spans="3:10" x14ac:dyDescent="0.25">
      <c r="C43">
        <f t="shared" si="20"/>
        <v>0.5</v>
      </c>
    </row>
    <row r="44" spans="3:10" x14ac:dyDescent="0.25">
      <c r="C44">
        <f t="shared" si="20"/>
        <v>0.6</v>
      </c>
    </row>
    <row r="45" spans="3:10" x14ac:dyDescent="0.25">
      <c r="C45">
        <f t="shared" si="20"/>
        <v>0.7</v>
      </c>
    </row>
    <row r="46" spans="3:10" x14ac:dyDescent="0.25">
      <c r="C46">
        <f t="shared" si="20"/>
        <v>0.79999999999999993</v>
      </c>
    </row>
    <row r="47" spans="3:10" x14ac:dyDescent="0.25">
      <c r="C47">
        <f t="shared" si="20"/>
        <v>0.89999999999999991</v>
      </c>
    </row>
    <row r="48" spans="3:10" x14ac:dyDescent="0.25">
      <c r="C48">
        <f>C47+0.1</f>
        <v>0.99999999999999989</v>
      </c>
    </row>
  </sheetData>
  <mergeCells count="7">
    <mergeCell ref="C15:C20"/>
    <mergeCell ref="C31:C36"/>
    <mergeCell ref="D5:J5"/>
    <mergeCell ref="B7:B12"/>
    <mergeCell ref="B4:J4"/>
    <mergeCell ref="C23:C28"/>
    <mergeCell ref="C30:J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sinewave</vt:lpstr>
      <vt:lpstr>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</dc:creator>
  <cp:lastModifiedBy>Rafał</cp:lastModifiedBy>
  <dcterms:created xsi:type="dcterms:W3CDTF">2019-11-06T19:48:55Z</dcterms:created>
  <dcterms:modified xsi:type="dcterms:W3CDTF">2025-01-12T17:08:48Z</dcterms:modified>
</cp:coreProperties>
</file>